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Votações" sheetId="2" state="visible" r:id="rId4"/>
    <sheet name="Matérias e sinais" sheetId="3" state="visible" r:id="rId5"/>
  </sheets>
  <definedNames>
    <definedName function="false" hidden="true" localSheetId="2" name="_xlnm._FilterDatabase" vbProcedure="false">'Matérias e sinais'!$A$1:$K$187</definedName>
    <definedName function="false" hidden="true" localSheetId="1" name="_xlnm._FilterDatabase" vbProcedure="false">Votações!$A$1:$H$427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<sst xmlns="http://schemas.openxmlformats.org/spreadsheetml/2006/main" count="4247" uniqueCount="1162">
  <si>
    <t xml:space="preserve">Votações nominais de Flávio Bolsonaro no plenário do Senado (57ª legislatura, fev/2023 a out/2026)</t>
  </si>
  <si>
    <t xml:space="preserve">Fonte: Senado Federal, Portal de Dados Abertos (legis.senado.leg.br/dadosabertos), consulta em 23/10/2026. Inclui só votações nominais de plenário; votações simbólicas e de comissões não estão aqui.</t>
  </si>
  <si>
    <t xml:space="preserve">Registro</t>
  </si>
  <si>
    <t xml:space="preserve">2023</t>
  </si>
  <si>
    <t xml:space="preserve">2024</t>
  </si>
  <si>
    <t xml:space="preserve">2025</t>
  </si>
  <si>
    <t xml:space="preserve">2026</t>
  </si>
  <si>
    <t xml:space="preserve">Total</t>
  </si>
  <si>
    <t xml:space="preserve">Sim</t>
  </si>
  <si>
    <t xml:space="preserve">Não</t>
  </si>
  <si>
    <t xml:space="preserve">Abstenção</t>
  </si>
  <si>
    <t xml:space="preserve">Votou</t>
  </si>
  <si>
    <t xml:space="preserve">Presente – Não registrou voto</t>
  </si>
  <si>
    <t xml:space="preserve">Não Compareceu</t>
  </si>
  <si>
    <t xml:space="preserve">Licença Particular</t>
  </si>
  <si>
    <t xml:space="preserve">Atividade parlamentar</t>
  </si>
  <si>
    <t xml:space="preserve">Total de votações nominais</t>
  </si>
  <si>
    <t xml:space="preserve">Presença sem registro de voto, ausência ou licença (% do total)</t>
  </si>
  <si>
    <t xml:space="preserve">Como ler os registros</t>
  </si>
  <si>
    <t xml:space="preserve">Sim / Não / Abstenção: voto declarado em matérias legislativas (PEC, projetos, MPs, requerimentos, destaques).</t>
  </si>
  <si>
    <t xml:space="preserve">Votou: votação secreta, quase sempre de indicação de autoridade (embaixadores, agências, tribunais, CNJ, CNMP). O conteúdo do voto não é público.</t>
  </si>
  <si>
    <t xml:space="preserve">Presente – Não registrou voto: estava na sessão mas não votou naquela votação.</t>
  </si>
  <si>
    <t xml:space="preserve">Não Compareceu: ausente sem justificativa registrada.</t>
  </si>
  <si>
    <t xml:space="preserve">Licença Particular / Atividade parlamentar: ausência justificada (licença pessoal ou missão oficial).</t>
  </si>
  <si>
    <t xml:space="preserve">Resultado: Aprovado ou Rejeitado refere-se ao item votado. Em destaques e emendas, "Rejeitado" significa que a mudança caiu e o texto original foi mantido.</t>
  </si>
  <si>
    <t xml:space="preserve">Data</t>
  </si>
  <si>
    <t xml:space="preserve">Ano</t>
  </si>
  <si>
    <t xml:space="preserve">Matéria</t>
  </si>
  <si>
    <t xml:space="preserve">Tipo</t>
  </si>
  <si>
    <t xml:space="preserve">O que foi votado</t>
  </si>
  <si>
    <t xml:space="preserve">Voto de Flávio Bolsonaro</t>
  </si>
  <si>
    <t xml:space="preserve">Resultado</t>
  </si>
  <si>
    <t xml:space="preserve">Código da votação</t>
  </si>
  <si>
    <t xml:space="preserve">PDL 2/2023</t>
  </si>
  <si>
    <t xml:space="preserve">Outros</t>
  </si>
  <si>
    <t xml:space="preserve">Projeto de Decreto Legislativo nº 2/2023</t>
  </si>
  <si>
    <t xml:space="preserve">Aprovado</t>
  </si>
  <si>
    <t xml:space="preserve">PLP 189/2019</t>
  </si>
  <si>
    <t xml:space="preserve">Lei complementar</t>
  </si>
  <si>
    <t xml:space="preserve">PLP 189/2019, nos termos do parecer</t>
  </si>
  <si>
    <t xml:space="preserve">PRS 46/2023</t>
  </si>
  <si>
    <t xml:space="preserve">Projeto de Resolução nº 46/2023</t>
  </si>
  <si>
    <t xml:space="preserve">PL 1825/2022 (Substitutivo-CD)</t>
  </si>
  <si>
    <t xml:space="preserve">Projeto de lei</t>
  </si>
  <si>
    <t xml:space="preserve">Expressões do Substitutivo da CD ao PLS 68/2017, destacadas</t>
  </si>
  <si>
    <t xml:space="preserve">PLS 332/2018</t>
  </si>
  <si>
    <t xml:space="preserve">PLS 332/2018 - Complementar</t>
  </si>
  <si>
    <t xml:space="preserve">PLP 245/2019</t>
  </si>
  <si>
    <t xml:space="preserve">Emenda nº 48 (Substitutivo) ao PLP 245/2019</t>
  </si>
  <si>
    <t xml:space="preserve">PEC 162/2019</t>
  </si>
  <si>
    <t xml:space="preserve">PEC</t>
  </si>
  <si>
    <t xml:space="preserve">PEC 162/2019 (1º turno)</t>
  </si>
  <si>
    <t xml:space="preserve">PEC 162/2019 (2º turno)</t>
  </si>
  <si>
    <t xml:space="preserve">MSF 5/2023</t>
  </si>
  <si>
    <t xml:space="preserve">Autoridade (voto secreto)</t>
  </si>
  <si>
    <t xml:space="preserve">Indicação: Paulino Franco de Carvalho Neto (Egito e Eritreia)</t>
  </si>
  <si>
    <t xml:space="preserve">MSF 6/2023</t>
  </si>
  <si>
    <t xml:space="preserve">Indicação: Ricardo Neiva Tavares (França e Mônaco)</t>
  </si>
  <si>
    <t xml:space="preserve">MSF 23/2023</t>
  </si>
  <si>
    <t xml:space="preserve">Indicação: Erick Moura de Medeiros (DNIT)</t>
  </si>
  <si>
    <t xml:space="preserve">MSF 9/2023</t>
  </si>
  <si>
    <t xml:space="preserve">Indicação: Maria Luiza Ribeiro Viotti (EUA)</t>
  </si>
  <si>
    <t xml:space="preserve">MSF 7/2023</t>
  </si>
  <si>
    <t xml:space="preserve">Indicação: Sérgio França Danese (Nações Unidas)</t>
  </si>
  <si>
    <t xml:space="preserve">MSF 1/2023</t>
  </si>
  <si>
    <t xml:space="preserve">Indicação: Luiz Fernando Corrêa (ABIN)</t>
  </si>
  <si>
    <t xml:space="preserve">MSF 8/2023</t>
  </si>
  <si>
    <t xml:space="preserve">Indicação: Julio Glinternick Bitelli (Argentina)</t>
  </si>
  <si>
    <t xml:space="preserve">MSF 10/2023</t>
  </si>
  <si>
    <t xml:space="preserve">Indicação: Everton Vieira Vargas (Santa Sé e Malta)</t>
  </si>
  <si>
    <t xml:space="preserve">MSF 12/2023</t>
  </si>
  <si>
    <t xml:space="preserve">Indicação: Kenneth Félix Haczynski da Nóbrega (Índia e Butão)</t>
  </si>
  <si>
    <t xml:space="preserve">MSF 11/2023</t>
  </si>
  <si>
    <t xml:space="preserve">Indicação: Antonio de Aguiar Patriota (Reino Unido)</t>
  </si>
  <si>
    <t xml:space="preserve">MSF 21/2023</t>
  </si>
  <si>
    <t xml:space="preserve">Indicação: Christian Vargas (Cuba)</t>
  </si>
  <si>
    <t xml:space="preserve">MSF 17/2023</t>
  </si>
  <si>
    <t xml:space="preserve">Indicação: Frederico Salomão Duque Estrada Meyer (Israel)</t>
  </si>
  <si>
    <t xml:space="preserve">MSF 18/2023</t>
  </si>
  <si>
    <t xml:space="preserve">Indicação: Michel Arslanian Neto (OACI)</t>
  </si>
  <si>
    <t xml:space="preserve">MSF 19/2023</t>
  </si>
  <si>
    <t xml:space="preserve">Indicação: Guilherme de Aguiar Patriota (Suíça)</t>
  </si>
  <si>
    <t xml:space="preserve">MSF 20/2023</t>
  </si>
  <si>
    <t xml:space="preserve">Indicação: Clemente de Lima Baena Soares (Peru)</t>
  </si>
  <si>
    <t xml:space="preserve">MSF 22/2023</t>
  </si>
  <si>
    <t xml:space="preserve">Indicação: Benoni Belli (OEA)</t>
  </si>
  <si>
    <t xml:space="preserve">MSF 15/2023</t>
  </si>
  <si>
    <t xml:space="preserve">Indicação: Paulo Roberto Caminha de Castilho França (Grécia)</t>
  </si>
  <si>
    <t xml:space="preserve">MSF 26/2023</t>
  </si>
  <si>
    <t xml:space="preserve">Indicação: Fernando Simas Magalhães (Países Baixos)</t>
  </si>
  <si>
    <t xml:space="preserve">MSF 13/2023</t>
  </si>
  <si>
    <t xml:space="preserve">Indicação: George Monteiro Prata (Indonésia)</t>
  </si>
  <si>
    <t xml:space="preserve">MSF 14/2023</t>
  </si>
  <si>
    <t xml:space="preserve">Indicação: Gabriel Boff Moreira (Eslováquia)</t>
  </si>
  <si>
    <t xml:space="preserve">MSF 16/2023</t>
  </si>
  <si>
    <t xml:space="preserve">Indicação: Arthur Henrique Villanova Nogueira (Malawi)</t>
  </si>
  <si>
    <t xml:space="preserve">MPV 1154/2023</t>
  </si>
  <si>
    <t xml:space="preserve">Medida provisória</t>
  </si>
  <si>
    <t xml:space="preserve">PLV 12/2023 e pressupostos da MPV 1.154/2023</t>
  </si>
  <si>
    <t xml:space="preserve">PEC 43/2022</t>
  </si>
  <si>
    <t xml:space="preserve">PEC 43/2022 (1º turno)</t>
  </si>
  <si>
    <t xml:space="preserve">PEC 43/2022 (2º turno)</t>
  </si>
  <si>
    <t xml:space="preserve">OFS 6/2023</t>
  </si>
  <si>
    <t xml:space="preserve">Indicação: Marcus Vinícius Caetano Pestana da Silva (IFI)</t>
  </si>
  <si>
    <t xml:space="preserve">PLP 139/2022</t>
  </si>
  <si>
    <t xml:space="preserve">PLP 139/2022, nos termos do parecer</t>
  </si>
  <si>
    <t xml:space="preserve">MPV 1165/2023</t>
  </si>
  <si>
    <t xml:space="preserve">Emenda nº 131 à MPV 1.165/2023, destacada</t>
  </si>
  <si>
    <t xml:space="preserve">Rejeitado</t>
  </si>
  <si>
    <t xml:space="preserve">MSF 24/2023</t>
  </si>
  <si>
    <t xml:space="preserve">Indicação: Claudio Frederico de Matos Arruda (Austrália)</t>
  </si>
  <si>
    <t xml:space="preserve">MSF 25/2023</t>
  </si>
  <si>
    <t xml:space="preserve">Indicação: Ricardo Guerra de Araújo (Romênia)</t>
  </si>
  <si>
    <t xml:space="preserve">MSF 29/2023</t>
  </si>
  <si>
    <t xml:space="preserve">Indicação: Renato Mosca de Souza (Itália)</t>
  </si>
  <si>
    <t xml:space="preserve">MSF 34/2023</t>
  </si>
  <si>
    <t xml:space="preserve">Indicação: Cristiano Zanin Martins (STF)</t>
  </si>
  <si>
    <t xml:space="preserve">PLP 93/2023</t>
  </si>
  <si>
    <t xml:space="preserve">PLP 93/2023 e emendas, ressalvados os destaques</t>
  </si>
  <si>
    <t xml:space="preserve">Emenda nº 83 ao PLP 93/2023, destacada</t>
  </si>
  <si>
    <t xml:space="preserve">Emenda nº 89 ao PLP 93/2023, destacada</t>
  </si>
  <si>
    <t xml:space="preserve">Emenda nº 101 ao PLP 93/2023, destacada</t>
  </si>
  <si>
    <t xml:space="preserve">MSF 30/2023</t>
  </si>
  <si>
    <t xml:space="preserve">Indicação: Sidney Leon Romeiro (Emirados Árabes Unidos)</t>
  </si>
  <si>
    <t xml:space="preserve">MSF 33/2023</t>
  </si>
  <si>
    <t xml:space="preserve">Indicação: Claudia Vieira Santos (AIEA)</t>
  </si>
  <si>
    <t xml:space="preserve">MSF 31/2023</t>
  </si>
  <si>
    <t xml:space="preserve">Indicação: Silvana Polich (Croácia)</t>
  </si>
  <si>
    <t xml:space="preserve">MSF 32/2023</t>
  </si>
  <si>
    <t xml:space="preserve">Indicação: Alexandre Guido Lopes Parola (Marrocos)</t>
  </si>
  <si>
    <t xml:space="preserve">MSF 37/2023</t>
  </si>
  <si>
    <t xml:space="preserve">Indicação: João Genésio de Almeida Filho (Botsuana)</t>
  </si>
  <si>
    <t xml:space="preserve">MSF 36/2023</t>
  </si>
  <si>
    <t xml:space="preserve">Indicação: Adriano Silva Pucci (Bahrein)</t>
  </si>
  <si>
    <t xml:space="preserve">MSF 27/2023</t>
  </si>
  <si>
    <t xml:space="preserve">Indicação: Gabriel Muricca Galípolo (Banco Central)</t>
  </si>
  <si>
    <t xml:space="preserve">MSF 28/2023</t>
  </si>
  <si>
    <t xml:space="preserve">Indicação: Ailton de Aquino Santos (Banco Central)</t>
  </si>
  <si>
    <t xml:space="preserve">MSF 42/2023</t>
  </si>
  <si>
    <t xml:space="preserve">Indicação: Carlos Antonio Rocha de Barros (DNIT)</t>
  </si>
  <si>
    <t xml:space="preserve">MSF 41/2023</t>
  </si>
  <si>
    <t xml:space="preserve">Indicação: Fabricio de Oliveira Galvão (DNIT)</t>
  </si>
  <si>
    <t xml:space="preserve">MSF 40/2023</t>
  </si>
  <si>
    <t xml:space="preserve">Indicação: Fabio Pessoa da Silva Nunes (DNIT)</t>
  </si>
  <si>
    <t xml:space="preserve">MSF 39/2023</t>
  </si>
  <si>
    <t xml:space="preserve">Indicação: José Eduardo Guidi (DNIT)</t>
  </si>
  <si>
    <t xml:space="preserve">PLP 41/2019</t>
  </si>
  <si>
    <t xml:space="preserve">Emenda 15 (Substitutivo) ao PLP 41/2019, com emendas</t>
  </si>
  <si>
    <t xml:space="preserve">PLP 178/2021</t>
  </si>
  <si>
    <t xml:space="preserve">PLP 178/2021, nos termos dos pareceres</t>
  </si>
  <si>
    <t xml:space="preserve">MSF 44/2023</t>
  </si>
  <si>
    <t xml:space="preserve">Indicação: Carlos Alberto Franco França (Canadá)</t>
  </si>
  <si>
    <t xml:space="preserve">MSF 43/2023</t>
  </si>
  <si>
    <t xml:space="preserve">Indicação: Eduardo Ricardo Gradilone Neto (Irã)</t>
  </si>
  <si>
    <t xml:space="preserve">MSF 45/2023</t>
  </si>
  <si>
    <t xml:space="preserve">Indicação: Paulo Roberto Campos Tarrisse da Fontoura (Bulgária e Macedônia do Norte)</t>
  </si>
  <si>
    <t xml:space="preserve">OFS 3/2023</t>
  </si>
  <si>
    <t xml:space="preserve">Indicação: Paulo Cezar dos Passos (CNMP)</t>
  </si>
  <si>
    <t xml:space="preserve">OFS 5/2023</t>
  </si>
  <si>
    <t xml:space="preserve">Indicação: Ivana Lúcia Franco Cei (CNMP)</t>
  </si>
  <si>
    <t xml:space="preserve">OFS 4/2023</t>
  </si>
  <si>
    <t xml:space="preserve">Indicação: Fernando da Silva Comin (CNMP)</t>
  </si>
  <si>
    <t xml:space="preserve">OFS 11/2023</t>
  </si>
  <si>
    <t xml:space="preserve">Indicação: Pablo Coutinho Barreto (CNJ)</t>
  </si>
  <si>
    <t xml:space="preserve">OFS 7/2023</t>
  </si>
  <si>
    <t xml:space="preserve">Indicação: Jaime Cassio Miranda (CNMP)</t>
  </si>
  <si>
    <t xml:space="preserve">OFS 8/2023</t>
  </si>
  <si>
    <t xml:space="preserve">Indicação: Moacyr Rey Filho (CNMP)</t>
  </si>
  <si>
    <t xml:space="preserve">OFS 12/2023</t>
  </si>
  <si>
    <t xml:space="preserve">Indicação: João Paulo Santos Schoucair (CNJ)</t>
  </si>
  <si>
    <t xml:space="preserve">OFS 9/2023</t>
  </si>
  <si>
    <t xml:space="preserve">Indicação: Ângelo Fabiano Farias (CNMP)</t>
  </si>
  <si>
    <t xml:space="preserve">OFS 10/2023</t>
  </si>
  <si>
    <t xml:space="preserve">Indicação: Antônio Edílio Magalhães Teixeira (CNMP)</t>
  </si>
  <si>
    <t xml:space="preserve">PLP 257/2019</t>
  </si>
  <si>
    <t xml:space="preserve">Emenda nº 9 (Substitutivo) ao PLP 257/2019</t>
  </si>
  <si>
    <t xml:space="preserve">PL 2384/2023</t>
  </si>
  <si>
    <t xml:space="preserve">PL 2.384/2023 e emendas de redação</t>
  </si>
  <si>
    <t xml:space="preserve">PEC 7/2018</t>
  </si>
  <si>
    <t xml:space="preserve">PEC 7/2018 (1º turno)</t>
  </si>
  <si>
    <t xml:space="preserve">PEC 7/2018 (2º turno)</t>
  </si>
  <si>
    <t xml:space="preserve">MSF 56/2023</t>
  </si>
  <si>
    <t xml:space="preserve">Indicação: Marcos de Brito Campos Júnior (DNIT)</t>
  </si>
  <si>
    <t xml:space="preserve">MSF 46/2023</t>
  </si>
  <si>
    <t xml:space="preserve">Indicação: Paulo Xavier Alcoforado (Ancine)</t>
  </si>
  <si>
    <t xml:space="preserve">MSF 49/2023</t>
  </si>
  <si>
    <t xml:space="preserve">Indicação: Maria Clara Duclos Carisio (Bósnia Herzegovina)</t>
  </si>
  <si>
    <t xml:space="preserve">MSF 50/2023</t>
  </si>
  <si>
    <t xml:space="preserve">Indicação: Maria Edileuza Fontenele Reis (Suécia e Letônia)</t>
  </si>
  <si>
    <t xml:space="preserve">MSF 51/2023</t>
  </si>
  <si>
    <t xml:space="preserve">Indicação: Gilberto Fonseca Guimarães de Moura (Filipinas e outros)</t>
  </si>
  <si>
    <t xml:space="preserve">MSF 54/2023</t>
  </si>
  <si>
    <t xml:space="preserve">Indicação: Marcelo Otávio Dantas Loures da Costa (Catar)</t>
  </si>
  <si>
    <t xml:space="preserve">MSF 55/2023</t>
  </si>
  <si>
    <t xml:space="preserve">Indicação: Gustavo Rocha de Menezes (Myanmar)</t>
  </si>
  <si>
    <t xml:space="preserve">REQ 31/2023 - CCJ</t>
  </si>
  <si>
    <t xml:space="preserve">Requerimento</t>
  </si>
  <si>
    <t xml:space="preserve">Urgência para o PL 2.903/2023</t>
  </si>
  <si>
    <t xml:space="preserve">PL 2903/2023</t>
  </si>
  <si>
    <t xml:space="preserve">PL 2.903/2023, ressalvados os destaques</t>
  </si>
  <si>
    <t xml:space="preserve">§ 4º do art. 16 do PL 2.903/2023, destacado</t>
  </si>
  <si>
    <t xml:space="preserve">Art. 28 do PL 2.903/2023, destacado</t>
  </si>
  <si>
    <t xml:space="preserve">PLP 136/2023</t>
  </si>
  <si>
    <t xml:space="preserve">PLP 136/2023, nos termos dos pareceres</t>
  </si>
  <si>
    <t xml:space="preserve">PL 2721/2023</t>
  </si>
  <si>
    <t xml:space="preserve">Emenda nº 1 (Substitutivo) ao PL 2.721/2023</t>
  </si>
  <si>
    <t xml:space="preserve">PL 5384/2020</t>
  </si>
  <si>
    <t xml:space="preserve">Requerimento de preferência para a Emenda nº 8 (Substitutiva)</t>
  </si>
  <si>
    <t xml:space="preserve">MSF 57/2023</t>
  </si>
  <si>
    <t xml:space="preserve">Indicação: Rodrigo D'Araujo Gabsch (Kuwait)</t>
  </si>
  <si>
    <t xml:space="preserve">MSF 58/2023</t>
  </si>
  <si>
    <t xml:space="preserve">Indicação: Carlos Luís Dantas Coutinho Perez (República Dominicana)</t>
  </si>
  <si>
    <t xml:space="preserve">MSF 35/2023</t>
  </si>
  <si>
    <t xml:space="preserve">Indicação: Igor Roberto Albuquerque Roque (DPU)</t>
  </si>
  <si>
    <t xml:space="preserve">MSF 60/2023</t>
  </si>
  <si>
    <t xml:space="preserve">Indicação: Daniela Rodrigues Teixeira (STJ)</t>
  </si>
  <si>
    <t xml:space="preserve">MSF 62/2023</t>
  </si>
  <si>
    <t xml:space="preserve">Indicação: José Afrânio Vilela (STJ)</t>
  </si>
  <si>
    <t xml:space="preserve">MSF 61/2023</t>
  </si>
  <si>
    <t xml:space="preserve">Indicação: Teodoro Silva Santos (STJ)</t>
  </si>
  <si>
    <t xml:space="preserve">PL 2470/2022</t>
  </si>
  <si>
    <t xml:space="preserve">Requerimento de adiamento da votação do PL 2.470/2022</t>
  </si>
  <si>
    <t xml:space="preserve">PL 4426/2023</t>
  </si>
  <si>
    <t xml:space="preserve">Art. 34 do PL 4.426/2023, destacado</t>
  </si>
  <si>
    <t xml:space="preserve">RQS 988/2023</t>
  </si>
  <si>
    <t xml:space="preserve">Calendário especial para a PEC 45/2019</t>
  </si>
  <si>
    <t xml:space="preserve">PEC 45/2019</t>
  </si>
  <si>
    <t xml:space="preserve">Substitutivo e emendas de Plenário, 1º turno, ressalvados os destaques</t>
  </si>
  <si>
    <t xml:space="preserve">Emenda nº 805, destacada</t>
  </si>
  <si>
    <t xml:space="preserve">Emenda nº 804, nos termos da subemenda do relator, destacada</t>
  </si>
  <si>
    <t xml:space="preserve">Emenda nº 806, destacada</t>
  </si>
  <si>
    <t xml:space="preserve">PEC 45/2019, 2º turno</t>
  </si>
  <si>
    <t xml:space="preserve">PLP 205/2023</t>
  </si>
  <si>
    <t xml:space="preserve">PLP 205/2023, nos termos do parecer</t>
  </si>
  <si>
    <t xml:space="preserve">RQS 1039/2023</t>
  </si>
  <si>
    <t xml:space="preserve">Calendário especial para a PEC 8/2021</t>
  </si>
  <si>
    <t xml:space="preserve">PEC 8/2021</t>
  </si>
  <si>
    <t xml:space="preserve">Requerimento nº 1.039/2023, calendário especial para a PEC 8/2021</t>
  </si>
  <si>
    <t xml:space="preserve">PEC 8/2021, emendas e subemenda (1º turno)</t>
  </si>
  <si>
    <t xml:space="preserve">PEC 8/2021 (2º turno)</t>
  </si>
  <si>
    <t xml:space="preserve">PLP 243/2023</t>
  </si>
  <si>
    <t xml:space="preserve">PLP 243/2023, nos termos dos pareceres</t>
  </si>
  <si>
    <t xml:space="preserve">MSF 38/2023</t>
  </si>
  <si>
    <t xml:space="preserve">Indicação: Alfredo Cesar Martinho Leoni (Omã)</t>
  </si>
  <si>
    <t xml:space="preserve">MSF 86/2023</t>
  </si>
  <si>
    <t xml:space="preserve">Indicação: Glivânia Maria de Oliveira (Venezuela)</t>
  </si>
  <si>
    <t xml:space="preserve">MSF 76/2023</t>
  </si>
  <si>
    <t xml:space="preserve">Indicação: Maria Cristina de Castro Martins (Guiana)</t>
  </si>
  <si>
    <t xml:space="preserve">MSF 75/2023</t>
  </si>
  <si>
    <t xml:space="preserve">Indicação: Maria Elisa Teófilo de Luna (Trinidad e Tobago)</t>
  </si>
  <si>
    <t xml:space="preserve">MSF 84/2023</t>
  </si>
  <si>
    <t xml:space="preserve">Indicação: Calos Jaques Vieira Gomes (CADE)</t>
  </si>
  <si>
    <t xml:space="preserve">MSF 81/2023</t>
  </si>
  <si>
    <t xml:space="preserve">Indicação: José Levi Mello do Amaral Júnior (CADE)</t>
  </si>
  <si>
    <t xml:space="preserve">MSF 82/2023</t>
  </si>
  <si>
    <t xml:space="preserve">Indicação: Camila Cabral Pires Alves (CADE)</t>
  </si>
  <si>
    <t xml:space="preserve">MSF 83/2023</t>
  </si>
  <si>
    <t xml:space="preserve">Indicação: Diogo Thomson de Andrade (CADE)</t>
  </si>
  <si>
    <t xml:space="preserve">MSF 78/2023</t>
  </si>
  <si>
    <t xml:space="preserve">Indicação: Rodrigo Alves Teixeira (Banco Central)</t>
  </si>
  <si>
    <t xml:space="preserve">MSF 79/2023</t>
  </si>
  <si>
    <t xml:space="preserve">Indicação: Paulo Picchetti (Banco Central)</t>
  </si>
  <si>
    <t xml:space="preserve">MSF 90/2023</t>
  </si>
  <si>
    <t xml:space="preserve">Indicação: Daniel Walter Maeda Bernardo (CVM)</t>
  </si>
  <si>
    <t xml:space="preserve">MSF 91/2023</t>
  </si>
  <si>
    <t xml:space="preserve">Indicação: Marina Palma Copola de Carvalho (CVM)</t>
  </si>
  <si>
    <t xml:space="preserve">RQS 1103/2023</t>
  </si>
  <si>
    <t xml:space="preserve">Requerimento de encerramento da discussão do PL 3.626/2023</t>
  </si>
  <si>
    <t xml:space="preserve">PL 3626/2023</t>
  </si>
  <si>
    <t xml:space="preserve">Emenda nº 139 ao PL 3.626/2023, destacada</t>
  </si>
  <si>
    <t xml:space="preserve">Emenda nº 147 ao PL 3.626/2023, destacada</t>
  </si>
  <si>
    <t xml:space="preserve">Requerimento nº 1.103/2023 de encerramento da discussão do PL 3.626/2023</t>
  </si>
  <si>
    <t xml:space="preserve">Emenda nº 157 ao PL 3.626/2023, destacada</t>
  </si>
  <si>
    <t xml:space="preserve">OFS 19/2023</t>
  </si>
  <si>
    <t xml:space="preserve">Indicação: Alexandre Augusto Seijas de Andrade (IFI)</t>
  </si>
  <si>
    <t xml:space="preserve">MSF 85/2023</t>
  </si>
  <si>
    <t xml:space="preserve">Indicação: Caio Mário Trivellato Seabra Filho (ANM)</t>
  </si>
  <si>
    <t xml:space="preserve">OFS 18/2023</t>
  </si>
  <si>
    <t xml:space="preserve">Indicação: Edvaldo Nilo de Almeida (CNMP)</t>
  </si>
  <si>
    <t xml:space="preserve">OFS 20/2023</t>
  </si>
  <si>
    <t xml:space="preserve">Indicação: Cíntia Menezes Brunetta (CNMP)</t>
  </si>
  <si>
    <t xml:space="preserve">OFS 17/2023</t>
  </si>
  <si>
    <t xml:space="preserve">Indicação: Daiane Nogueira de Lira (CNJ)</t>
  </si>
  <si>
    <t xml:space="preserve">OFS 21/2023</t>
  </si>
  <si>
    <t xml:space="preserve">Indicação: Mônica Autran Machado Nobre (CNJ)</t>
  </si>
  <si>
    <t xml:space="preserve">OFS 22/2023</t>
  </si>
  <si>
    <t xml:space="preserve">Indicação: Daniela Pereira Madeira (CNJ)</t>
  </si>
  <si>
    <t xml:space="preserve">OFS 24/2023</t>
  </si>
  <si>
    <t xml:space="preserve">Indicação: Renata Gil de Alcantara Videira (CNJ)</t>
  </si>
  <si>
    <t xml:space="preserve">OFS 25/2023</t>
  </si>
  <si>
    <t xml:space="preserve">Indicação: Guilherme Augusto Caputo Bastos (CNJ)</t>
  </si>
  <si>
    <t xml:space="preserve">OFS 23/2023</t>
  </si>
  <si>
    <t xml:space="preserve">Indicação: José Edivaldo Rocha Rotondano (CNJ)</t>
  </si>
  <si>
    <t xml:space="preserve">OFS 26/2023</t>
  </si>
  <si>
    <t xml:space="preserve">Indicação: Alexandre Teixeira de Freitas Bastos Cunha (CNJ)</t>
  </si>
  <si>
    <t xml:space="preserve">OFS 27/2023</t>
  </si>
  <si>
    <t xml:space="preserve">Indicação: Guilherme Guimarães Feliciano (CNJ)</t>
  </si>
  <si>
    <t xml:space="preserve">MSF 88/2023</t>
  </si>
  <si>
    <t xml:space="preserve">Indicação: Flávio Dino de Castro e Costa (STF)</t>
  </si>
  <si>
    <t xml:space="preserve">MSF 87/2023</t>
  </si>
  <si>
    <t xml:space="preserve">Indicação: Leonardo Cardoso de Magalhães (DPU)</t>
  </si>
  <si>
    <t xml:space="preserve">MSF 89/2023</t>
  </si>
  <si>
    <t xml:space="preserve">Indicação: Paulo Gustavo Gonet Branco (PGR)</t>
  </si>
  <si>
    <t xml:space="preserve">MPV 1185/2023</t>
  </si>
  <si>
    <t xml:space="preserve">PLV 20/2023 e pressupostos da MPV 1.185/23, ressalvado o destaque</t>
  </si>
  <si>
    <t xml:space="preserve">Emenda nº 48 à MPV 1.185/2023, destacada</t>
  </si>
  <si>
    <t xml:space="preserve">PL 2253/2022</t>
  </si>
  <si>
    <t xml:space="preserve">PL 2.253/2022, ressalvados os destaques</t>
  </si>
  <si>
    <t xml:space="preserve">Emenda nº 8 ao PL 2.253/2022, destacada</t>
  </si>
  <si>
    <t xml:space="preserve">PLP 137/2019</t>
  </si>
  <si>
    <t xml:space="preserve">PLP 137/2019, nos termos do parecer</t>
  </si>
  <si>
    <t xml:space="preserve">PEC 72/2023</t>
  </si>
  <si>
    <t xml:space="preserve">PEC 72/2023 (1º turno)</t>
  </si>
  <si>
    <t xml:space="preserve">PEC 72/2023 (2º turno)</t>
  </si>
  <si>
    <t xml:space="preserve">PLP 252/2023</t>
  </si>
  <si>
    <t xml:space="preserve">Emenda nº 1 (Substitutivo) ao PLP 252/2023</t>
  </si>
  <si>
    <t xml:space="preserve">PEC 45/2023</t>
  </si>
  <si>
    <t xml:space="preserve">PEC 45/2023 (1º turno)</t>
  </si>
  <si>
    <t xml:space="preserve">PEC 45/2023 (2º turno)</t>
  </si>
  <si>
    <t xml:space="preserve">PLP 175/2023</t>
  </si>
  <si>
    <t xml:space="preserve">PLP 175/2023, nos termos do parecer</t>
  </si>
  <si>
    <t xml:space="preserve">PLP 233/2023</t>
  </si>
  <si>
    <t xml:space="preserve">PLP 233/2023, ressalvados os destaques</t>
  </si>
  <si>
    <t xml:space="preserve">Art. 27 do PLP 233/2023, destacado</t>
  </si>
  <si>
    <t xml:space="preserve">Emenda nº 25 ao PLP 233/2023, destacada</t>
  </si>
  <si>
    <t xml:space="preserve">Emenda nº 4 ao PLP 233/2023, destacada</t>
  </si>
  <si>
    <t xml:space="preserve">PLP 85/2024</t>
  </si>
  <si>
    <t xml:space="preserve">PLP 85/2024, ressalvado o destaque</t>
  </si>
  <si>
    <t xml:space="preserve">Emenda nº 1 ao PLP 85/2024, destacada</t>
  </si>
  <si>
    <t xml:space="preserve">PLP 150/2021</t>
  </si>
  <si>
    <t xml:space="preserve">PLP 150/2021, nos termos dos pareceres</t>
  </si>
  <si>
    <t xml:space="preserve">RQS 369/2024</t>
  </si>
  <si>
    <t xml:space="preserve">Requerimento de Flávio Bolsonaro: preferência para a Emenda nº 23 (Substitutivo) ao PL 1.958/2021</t>
  </si>
  <si>
    <t xml:space="preserve">PL 1958/2021</t>
  </si>
  <si>
    <t xml:space="preserve">Requerimento nº 369/2024 de Flávio Bolsonaro: preferência para a Emenda nº 23 (Substitutivo)</t>
  </si>
  <si>
    <t xml:space="preserve">PL 914/2024</t>
  </si>
  <si>
    <t xml:space="preserve">PL 914/2024, ressalvados os destaques</t>
  </si>
  <si>
    <t xml:space="preserve">PLC 29/2017</t>
  </si>
  <si>
    <t xml:space="preserve">Capítulo XI do Título I do substitutivo ao PLC 29/2017, destacado</t>
  </si>
  <si>
    <t xml:space="preserve">MSF 12/2024</t>
  </si>
  <si>
    <t xml:space="preserve">Indicação: Antônio Fabrício de Matos Gonçalves (TST)</t>
  </si>
  <si>
    <t xml:space="preserve">OFS 5/2024</t>
  </si>
  <si>
    <t xml:space="preserve">Indicação: Mauro Luiz Campbell Marques (CNJ)</t>
  </si>
  <si>
    <t xml:space="preserve">MSF 6/2024</t>
  </si>
  <si>
    <t xml:space="preserve">Indicação: Alexandre Barreto de Souza (CADE)</t>
  </si>
  <si>
    <t xml:space="preserve">MSF 5/2024</t>
  </si>
  <si>
    <t xml:space="preserve">Indicação: André Luís Macagnan Freire (CADE)</t>
  </si>
  <si>
    <t xml:space="preserve">MSF 1/2024</t>
  </si>
  <si>
    <t xml:space="preserve">Indicação: Carlos José Areias Moreno Garcete (Nigéria)</t>
  </si>
  <si>
    <t xml:space="preserve">MSF 92/2023</t>
  </si>
  <si>
    <t xml:space="preserve">Indicação: Mariana Gonçalves Madeira (Gana, Serra Leoa e Libéria)</t>
  </si>
  <si>
    <t xml:space="preserve">MSF 2/2024</t>
  </si>
  <si>
    <t xml:space="preserve">Indicação: Leonardo Luís Gorgulho Nogueira Fernandes (Dinamarca e Lituânia)</t>
  </si>
  <si>
    <t xml:space="preserve">PLP 72/2024</t>
  </si>
  <si>
    <t xml:space="preserve">PLP 72/2024 e Emenda nº 2</t>
  </si>
  <si>
    <t xml:space="preserve">PL 2308/2023</t>
  </si>
  <si>
    <t xml:space="preserve">Emenda nº 26 ao PL 2.308/2023, destacada</t>
  </si>
  <si>
    <t xml:space="preserve">PLP 262/2019</t>
  </si>
  <si>
    <t xml:space="preserve">PLP 262/2019, nos termos dos pareceres</t>
  </si>
  <si>
    <t xml:space="preserve">MSF 10/2024</t>
  </si>
  <si>
    <t xml:space="preserve">Indicação: Samara Furtado Carneiro (Anvisa)</t>
  </si>
  <si>
    <t xml:space="preserve">MSF 11/2024</t>
  </si>
  <si>
    <t xml:space="preserve">Indicação: Rodrigo de Azeredo Santos (Noruega e Islândia)</t>
  </si>
  <si>
    <t xml:space="preserve">MSF 7/2024</t>
  </si>
  <si>
    <t xml:space="preserve">Indicação: Flávio Helmold Macieira (Irlanda)</t>
  </si>
  <si>
    <t xml:space="preserve">MSF 8/2024</t>
  </si>
  <si>
    <t xml:space="preserve">Indicação: Marcel Fortuna Biato (Cazaquistão e outros)</t>
  </si>
  <si>
    <t xml:space="preserve">MSF 20/2024</t>
  </si>
  <si>
    <t xml:space="preserve">Indicação: Eugênia Barthelmess (Angola)</t>
  </si>
  <si>
    <t xml:space="preserve">MSF 21/2024</t>
  </si>
  <si>
    <t xml:space="preserve">Indicação: Rosimar da Silva Suzano (Estônia)</t>
  </si>
  <si>
    <t xml:space="preserve">MSF 17/2024</t>
  </si>
  <si>
    <t xml:space="preserve">Indicação: Nedilson Ricardo Jorge (México)</t>
  </si>
  <si>
    <t xml:space="preserve">MSF 23/2024</t>
  </si>
  <si>
    <t xml:space="preserve">Indicação: Rafael de Mello Vidal (Ucrânia e Moldova)</t>
  </si>
  <si>
    <t xml:space="preserve">MSF 22/2024</t>
  </si>
  <si>
    <t xml:space="preserve">Indicação: Luciano Mazza de Andrade (Singapura)</t>
  </si>
  <si>
    <t xml:space="preserve">MSF 18/2024</t>
  </si>
  <si>
    <t xml:space="preserve">Indicação: Colbert Soares Pinto Junior (Santa Lúcia e Dominica)</t>
  </si>
  <si>
    <t xml:space="preserve">MSF 19/2024</t>
  </si>
  <si>
    <t xml:space="preserve">Indicação: Alexandre Henrique Scultori de Azevedo Silva (Cabo Verde)</t>
  </si>
  <si>
    <t xml:space="preserve">SCD 6/2016</t>
  </si>
  <si>
    <t xml:space="preserve">§ 5º do art. 29 do Substitutivo da CD nº 6/2016 ao PLS 135/2010, destacado</t>
  </si>
  <si>
    <t xml:space="preserve">PLP 121/2024</t>
  </si>
  <si>
    <t xml:space="preserve">Emenda nº 76 (Substitutivo) ao PLP 121/2024</t>
  </si>
  <si>
    <t xml:space="preserve">MSF 26/2024</t>
  </si>
  <si>
    <t xml:space="preserve">Indicação: Ana Lélia Benincá Beltrame (São Vicente e Granadinas)</t>
  </si>
  <si>
    <t xml:space="preserve">MSF 24/2024</t>
  </si>
  <si>
    <t xml:space="preserve">Indicação: Flávio Soares Damico (Equador)</t>
  </si>
  <si>
    <t xml:space="preserve">MSF 25/2024</t>
  </si>
  <si>
    <t xml:space="preserve">Indicação: Marcos Vinicius Pinta Gama (Argélia)</t>
  </si>
  <si>
    <t xml:space="preserve">PEC 66/2023</t>
  </si>
  <si>
    <t xml:space="preserve">Emenda nº 7 (Substitutivo) à PEC 66/2023 (1º turno)</t>
  </si>
  <si>
    <t xml:space="preserve">PEC 66/2023 (2º turno)</t>
  </si>
  <si>
    <t xml:space="preserve">PEC 26/2022</t>
  </si>
  <si>
    <t xml:space="preserve">PEC 26/2022 (1º turno)</t>
  </si>
  <si>
    <t xml:space="preserve">PEC 26/2022 (2º turno)</t>
  </si>
  <si>
    <t xml:space="preserve">PEC 9/2023</t>
  </si>
  <si>
    <t xml:space="preserve">PEC 9/2023 (1º turno)</t>
  </si>
  <si>
    <t xml:space="preserve">PEC 9/2023 (2º turno)</t>
  </si>
  <si>
    <t xml:space="preserve">PL 528/2020</t>
  </si>
  <si>
    <t xml:space="preserve">Emenda nº 45 ao PL 528/2020, destacada</t>
  </si>
  <si>
    <t xml:space="preserve">MSF 42/2024</t>
  </si>
  <si>
    <t xml:space="preserve">PL 182/2024</t>
  </si>
  <si>
    <t xml:space="preserve">Emenda nº 58 ao substitutivo do PL 182/2024, destacada</t>
  </si>
  <si>
    <t xml:space="preserve">PLP 175/2024</t>
  </si>
  <si>
    <t xml:space="preserve">Emenda nº 45 (Substitutivo) ao PLP 175/2024, ressalvados os destaques</t>
  </si>
  <si>
    <t xml:space="preserve">Dispositivos do art. 12 do substitutivo ao PLP 175/2024, destacados</t>
  </si>
  <si>
    <t xml:space="preserve">§4º do art. 4º do substitutivo ao PLP 175/2024, destacado</t>
  </si>
  <si>
    <t xml:space="preserve">Subemenda ao substitutivo do PLP 175/2024, destacada</t>
  </si>
  <si>
    <t xml:space="preserve">PLP 153/2024</t>
  </si>
  <si>
    <t xml:space="preserve">PLP 153/2024, nos termos do parecer</t>
  </si>
  <si>
    <t xml:space="preserve">MSF 32/2024</t>
  </si>
  <si>
    <t xml:space="preserve">Indicação: Gilda Motta Santos Neves (Turquia)</t>
  </si>
  <si>
    <t xml:space="preserve">MSF 33/2024</t>
  </si>
  <si>
    <t xml:space="preserve">Indicação: Daniella Xavier Cesar (Senegal e Gâmbia)</t>
  </si>
  <si>
    <t xml:space="preserve">MSF 51/2024</t>
  </si>
  <si>
    <t xml:space="preserve">Indicação: Felipe Costi Santarosa (Suriname)</t>
  </si>
  <si>
    <t xml:space="preserve">MSF 52/2024</t>
  </si>
  <si>
    <t xml:space="preserve">Indicação: Carlos Ricardo Martins Ceglia (Geórgia)</t>
  </si>
  <si>
    <t xml:space="preserve">MSF 53/2024</t>
  </si>
  <si>
    <t xml:space="preserve">Indicação: Miguel Griesbach de Pereira Franco (Gabão)</t>
  </si>
  <si>
    <t xml:space="preserve">MSF 54/2024</t>
  </si>
  <si>
    <t xml:space="preserve">Indicação: Maria Izabel Vieira (Eslovênia)</t>
  </si>
  <si>
    <t xml:space="preserve">MSF 55/2024</t>
  </si>
  <si>
    <t xml:space="preserve">Indicação: Ana Maria de Souza Bierrenbach (Chipre)</t>
  </si>
  <si>
    <t xml:space="preserve">MSF 58/2024</t>
  </si>
  <si>
    <t xml:space="preserve">Indicação: Nilton José Schneider David (Banco Central)</t>
  </si>
  <si>
    <t xml:space="preserve">MSF 59/2024</t>
  </si>
  <si>
    <t xml:space="preserve">Indicação: Izabela Moreira Correa (Banco Central)</t>
  </si>
  <si>
    <t xml:space="preserve">MSF 60/2024</t>
  </si>
  <si>
    <t xml:space="preserve">Indicação: Gilneu Francisco Astolfi Vivan (Banco Central)</t>
  </si>
  <si>
    <t xml:space="preserve">MSF 31/2024</t>
  </si>
  <si>
    <t xml:space="preserve">Indicação: Iagê Zendron Miola (ANPD)</t>
  </si>
  <si>
    <t xml:space="preserve">MSF 56/2024</t>
  </si>
  <si>
    <t xml:space="preserve">Indicação: Guido Amin Naves (STM)</t>
  </si>
  <si>
    <t xml:space="preserve">OFS 1/2024</t>
  </si>
  <si>
    <t xml:space="preserve">Indicação: Marcello Terto e Silva (CNJ)</t>
  </si>
  <si>
    <t xml:space="preserve">OFS 2/2024</t>
  </si>
  <si>
    <t xml:space="preserve">Indicação: Ulisses Rabaneda dos Santos (CNJ)</t>
  </si>
  <si>
    <t xml:space="preserve">OFS 7/2024</t>
  </si>
  <si>
    <t xml:space="preserve">Indicação: Rodrigo Badaró Almeida de Castro (CNJ)</t>
  </si>
  <si>
    <t xml:space="preserve">PL 576/2021 (Substitutivo-CD)</t>
  </si>
  <si>
    <t xml:space="preserve">Art. 21 do texto consolidado ao Substitutivo da CD ao PL 576/2021, destacado</t>
  </si>
  <si>
    <t xml:space="preserve">PLP 68/2024</t>
  </si>
  <si>
    <t xml:space="preserve">Emenda nº 2.171 (Substitutivo) ao PLP 68/2024, ressalvados os destaques</t>
  </si>
  <si>
    <t xml:space="preserve">Emenda nº 2.203 ao substitutivo do PLP 68/2024, destacada</t>
  </si>
  <si>
    <t xml:space="preserve">Emenda nº 2.201 ao substitutivo do PLP 68/2024, destacada</t>
  </si>
  <si>
    <t xml:space="preserve">Emenda nº 2.223 ao substitutivo do PLP 68/2024, destacada</t>
  </si>
  <si>
    <t xml:space="preserve">PEC 3/2020</t>
  </si>
  <si>
    <t xml:space="preserve">PEC 3/2020 (1º turno)</t>
  </si>
  <si>
    <t xml:space="preserve">PEC 3/2020 (2º turno)</t>
  </si>
  <si>
    <t xml:space="preserve">PLP 121/2024 (Substitutivo-CD)</t>
  </si>
  <si>
    <t xml:space="preserve">Substitutivo da CD ao PLP 121/2024</t>
  </si>
  <si>
    <t xml:space="preserve">PLP 143/2024</t>
  </si>
  <si>
    <t xml:space="preserve">PLP 143/2024, nos termos do parecer</t>
  </si>
  <si>
    <t xml:space="preserve">PLP 124/2022</t>
  </si>
  <si>
    <t xml:space="preserve">Emenda nº 40 (Substitutivo) ao PLP 124/2022</t>
  </si>
  <si>
    <t xml:space="preserve">PLP 92/2024</t>
  </si>
  <si>
    <t xml:space="preserve">PLP 92/2024, nos termos do parecer</t>
  </si>
  <si>
    <t xml:space="preserve">PL 4932/2024</t>
  </si>
  <si>
    <t xml:space="preserve">Emenda nº 1 ao PL 4.932/2024, destacada</t>
  </si>
  <si>
    <t xml:space="preserve">PLP 210/2024</t>
  </si>
  <si>
    <t xml:space="preserve">PLP 210/2024, ressalvados os destaques</t>
  </si>
  <si>
    <t xml:space="preserve">Emenda nº 14 ao PLP 210/2024, destacada</t>
  </si>
  <si>
    <t xml:space="preserve">Emenda nº 16 ao PLP 210/2024, destacada</t>
  </si>
  <si>
    <t xml:space="preserve">Emenda nº 20 ao PLP 210/2024, destacada</t>
  </si>
  <si>
    <t xml:space="preserve">PEC 54/2024</t>
  </si>
  <si>
    <t xml:space="preserve">PEC 54/2024 (1º turno), ressalvado o destaque</t>
  </si>
  <si>
    <t xml:space="preserve">§11 do art. 37 da CF na Emenda nº 1 à PEC 54/2024, destacado</t>
  </si>
  <si>
    <t xml:space="preserve">PEC 54/2024 (2º turno)</t>
  </si>
  <si>
    <t xml:space="preserve">PL 4614/2024</t>
  </si>
  <si>
    <t xml:space="preserve">PL 4.614/2024, nos termos do parecer</t>
  </si>
  <si>
    <t xml:space="preserve">PLP 22/2025</t>
  </si>
  <si>
    <t xml:space="preserve">Emenda nº 1 (Substitutivo) ao PLP 22/2025</t>
  </si>
  <si>
    <t xml:space="preserve">PEC 18/2024</t>
  </si>
  <si>
    <t xml:space="preserve">PEC 18/2024 (1º turno)</t>
  </si>
  <si>
    <t xml:space="preserve">PEC 18/2024 (2º turno)</t>
  </si>
  <si>
    <t xml:space="preserve">PLP 192/2023</t>
  </si>
  <si>
    <t xml:space="preserve">Decisão da Presidência na Questão de Ordem de Alessandro Vieira</t>
  </si>
  <si>
    <t xml:space="preserve">PLP 22/2025 (Substitutivo-CD)</t>
  </si>
  <si>
    <t xml:space="preserve">Substitutivo da CD ao PLP 22/2025</t>
  </si>
  <si>
    <t xml:space="preserve">PLP 201/2019</t>
  </si>
  <si>
    <t xml:space="preserve">Emenda nº 1 (Substitutivo) ao PLP 201/2019</t>
  </si>
  <si>
    <t xml:space="preserve">PL 2088/2023</t>
  </si>
  <si>
    <t xml:space="preserve">Emenda nº 1 (Substitutivo) ao PL 2.088/2023, parecer da CAE</t>
  </si>
  <si>
    <t xml:space="preserve">PEC 2/2016</t>
  </si>
  <si>
    <t xml:space="preserve">PEC 2/2016 (1º turno)</t>
  </si>
  <si>
    <t xml:space="preserve">PEC 2/2016 (2º turno)</t>
  </si>
  <si>
    <t xml:space="preserve">PLP 48/2023</t>
  </si>
  <si>
    <t xml:space="preserve">PLP 48/2023, nos termos do parecer de Plenário</t>
  </si>
  <si>
    <t xml:space="preserve">PEC 81/2015</t>
  </si>
  <si>
    <t xml:space="preserve">PEC 81/2015 (1º turno)</t>
  </si>
  <si>
    <t xml:space="preserve">PEC 81/2015 (2º turno)</t>
  </si>
  <si>
    <t xml:space="preserve">MSF 3/2025</t>
  </si>
  <si>
    <t xml:space="preserve">Indicação: Rodrigo de Lima Baena Soares (Alemanha)</t>
  </si>
  <si>
    <t xml:space="preserve">MSF 11/2025</t>
  </si>
  <si>
    <t xml:space="preserve">Indicação: Paulo Uchôa Ribeiro Filho (Arábia Saudita e Iêmen)</t>
  </si>
  <si>
    <t xml:space="preserve">MSF 4/2025</t>
  </si>
  <si>
    <t xml:space="preserve">Indicação: Eduardo Paes Saboia (Áustria)</t>
  </si>
  <si>
    <t xml:space="preserve">MSF 2/2025</t>
  </si>
  <si>
    <t xml:space="preserve">Indicação: Sérgio Rodrigues dos Santos (Rússia e Uzbequistão)</t>
  </si>
  <si>
    <t xml:space="preserve">MSF 9/2025</t>
  </si>
  <si>
    <t xml:space="preserve">Indicação: André Veras Guimarães (Irã)</t>
  </si>
  <si>
    <t xml:space="preserve">PL 2159/2021</t>
  </si>
  <si>
    <t xml:space="preserve">PL 2.159/2021, nos termos do parecer de Plenário</t>
  </si>
  <si>
    <t xml:space="preserve">PEC 37/2022</t>
  </si>
  <si>
    <t xml:space="preserve">PEC 37/2022, ressalvado o destaque (1º turno)</t>
  </si>
  <si>
    <t xml:space="preserve">Emenda nº 3 à PEC 37/2022, destacada</t>
  </si>
  <si>
    <t xml:space="preserve">PEC 37/2022 (2º turno)</t>
  </si>
  <si>
    <t xml:space="preserve">PLP 234/2020</t>
  </si>
  <si>
    <t xml:space="preserve">PLP 234/2020, nos termos do parecer</t>
  </si>
  <si>
    <t xml:space="preserve">MSF 7/2025</t>
  </si>
  <si>
    <t xml:space="preserve">Indicação: Silvio José Albuquerque e Silva (Bélgica e Luxemburgo)</t>
  </si>
  <si>
    <t xml:space="preserve">MSF 5/2025</t>
  </si>
  <si>
    <t xml:space="preserve">Indicação: João Mendes Pereira (Panamá)</t>
  </si>
  <si>
    <t xml:space="preserve">MSF 8/2025</t>
  </si>
  <si>
    <t xml:space="preserve">Indicação: Júlio Cesar Fontes Laranjeira (Belarus)</t>
  </si>
  <si>
    <t xml:space="preserve">MSF 1/2025</t>
  </si>
  <si>
    <t xml:space="preserve">Indicação: Ricardo José Lustosa Leal (Timor-Leste)</t>
  </si>
  <si>
    <t xml:space="preserve">MSF 6/2025</t>
  </si>
  <si>
    <t xml:space="preserve">Indicação: Maria Clara de Abreu Rada (Sérvia e Montenegro)</t>
  </si>
  <si>
    <t xml:space="preserve">MSF 10/2025</t>
  </si>
  <si>
    <t xml:space="preserve">Indicação: Bernard Jorg Leopold de García Klingl (Azerbaijão)</t>
  </si>
  <si>
    <t xml:space="preserve">MSF 12/2025</t>
  </si>
  <si>
    <t xml:space="preserve">Indicação: Pablo Duarte Cardoso (Guiné-Bissau)</t>
  </si>
  <si>
    <t xml:space="preserve">MSF 17/2025</t>
  </si>
  <si>
    <t xml:space="preserve">Indicação: Daniella Ortega de Paiva Menezes (Malásia e Brunei)</t>
  </si>
  <si>
    <t xml:space="preserve">MSF 18/2025</t>
  </si>
  <si>
    <t xml:space="preserve">Indicação: Maria Elisa Teófilo de Luna (Granada)</t>
  </si>
  <si>
    <t xml:space="preserve">MSF 19/2025</t>
  </si>
  <si>
    <t xml:space="preserve">Indicação: Vivian Loss Sanmartin (Camboja)</t>
  </si>
  <si>
    <t xml:space="preserve">RQS 451/2025</t>
  </si>
  <si>
    <t xml:space="preserve">Urgência para o PLP 177/2023</t>
  </si>
  <si>
    <t xml:space="preserve">PLP 177/2023</t>
  </si>
  <si>
    <t xml:space="preserve">PLP 177/2023, ressalvado o destaque</t>
  </si>
  <si>
    <t xml:space="preserve">Emenda nº 3 ao PLP 177/2023, destacada</t>
  </si>
  <si>
    <t xml:space="preserve">Requerimento nº 451/2025 de urgência para o PLP 177/2023</t>
  </si>
  <si>
    <t xml:space="preserve">MPV 1291/2025</t>
  </si>
  <si>
    <t xml:space="preserve">Art. 2º do PLV 2/2025, destacado</t>
  </si>
  <si>
    <t xml:space="preserve">PLP 167/2024</t>
  </si>
  <si>
    <t xml:space="preserve">PLP 167/2024, nos termos do parecer de Plenário</t>
  </si>
  <si>
    <t xml:space="preserve">MSF 24/2025</t>
  </si>
  <si>
    <t xml:space="preserve">Indicação: Luiz Alberto Figueiredo Machado (Espanha e Andorra)</t>
  </si>
  <si>
    <t xml:space="preserve">MSF 25/2025</t>
  </si>
  <si>
    <t xml:space="preserve">Indicação: Cláudia Fonseca Buzzi (Hungria)</t>
  </si>
  <si>
    <t xml:space="preserve">MSF 26/2025</t>
  </si>
  <si>
    <t xml:space="preserve">Indicação: Maria Luisa Escorel de Moraes (Suíça e Liechtenstein)</t>
  </si>
  <si>
    <t xml:space="preserve">MSF 27/2025</t>
  </si>
  <si>
    <t xml:space="preserve">Indicação: Orlando Leite Ribeiro (República Tcheca)</t>
  </si>
  <si>
    <t xml:space="preserve">MSF 28/2025</t>
  </si>
  <si>
    <t xml:space="preserve">Indicação: Irene Vida Gala (Ruanda)</t>
  </si>
  <si>
    <t xml:space="preserve">MSF 29/2025</t>
  </si>
  <si>
    <t xml:space="preserve">Indicação: Luís Guilherme Nascentes da Silva (Haiti)</t>
  </si>
  <si>
    <t xml:space="preserve">PEC 137/2019</t>
  </si>
  <si>
    <t xml:space="preserve">PEC 137/2019 (1º turno)</t>
  </si>
  <si>
    <t xml:space="preserve">PEC 137/2019 (2º turno)</t>
  </si>
  <si>
    <t xml:space="preserve">PLP 234/2024</t>
  </si>
  <si>
    <t xml:space="preserve">PLP 234/2024, nos termos do parecer</t>
  </si>
  <si>
    <t xml:space="preserve">PEC 66/2023 (fase 2)</t>
  </si>
  <si>
    <t xml:space="preserve">PEC 66/2023, ressalvados os destaques (1º turno)</t>
  </si>
  <si>
    <t xml:space="preserve">MSF 81/2024</t>
  </si>
  <si>
    <t xml:space="preserve">Indicação: Patrícia Barcelos (Ancine)</t>
  </si>
  <si>
    <t xml:space="preserve">MSF 31/2025</t>
  </si>
  <si>
    <t xml:space="preserve">Indicação: Carlos Augusto Pires Brandão (STJ)</t>
  </si>
  <si>
    <t xml:space="preserve">MSF 39/2025</t>
  </si>
  <si>
    <t xml:space="preserve">Indicação: Maria Marluce Caldas Bezerra (STJ)</t>
  </si>
  <si>
    <t xml:space="preserve">MSF 30/2025</t>
  </si>
  <si>
    <t xml:space="preserve">Indicação: Verônica Abdalla Sterman (STM)</t>
  </si>
  <si>
    <t xml:space="preserve">OFS 1/2025</t>
  </si>
  <si>
    <t xml:space="preserve">Indicação: Fabiana Costa Oliveira Barreto (CNMP)</t>
  </si>
  <si>
    <t xml:space="preserve">OFS 4/2025</t>
  </si>
  <si>
    <t xml:space="preserve">OFS 4/2024</t>
  </si>
  <si>
    <t xml:space="preserve">Indicação: Greice Fonseca Stocker (CNMP)</t>
  </si>
  <si>
    <t xml:space="preserve">MSF 95/2024</t>
  </si>
  <si>
    <t xml:space="preserve">Indicação: Larissa Oliveira Rêgo (ANA)</t>
  </si>
  <si>
    <t xml:space="preserve">MSF 96/2024</t>
  </si>
  <si>
    <t xml:space="preserve">Indicação: Cristiane Collet Battiston (ANA)</t>
  </si>
  <si>
    <t xml:space="preserve">MSF 90/2024</t>
  </si>
  <si>
    <t xml:space="preserve">Indicação: Daniela Marreco Cerqueira (Anvisa)</t>
  </si>
  <si>
    <t xml:space="preserve">MSF 34/2025</t>
  </si>
  <si>
    <t xml:space="preserve">Indicação: Lorena Giuberti Coutinho (ANPD)</t>
  </si>
  <si>
    <t xml:space="preserve">OFS 9/2025</t>
  </si>
  <si>
    <t xml:space="preserve">Indicação: Karen Luise Vilanova Batista de Souza (CNMP)</t>
  </si>
  <si>
    <t xml:space="preserve">OFS 2/2025</t>
  </si>
  <si>
    <t xml:space="preserve">Indicação: Carlos Vinícius Alves Ribeiro (CNJ)</t>
  </si>
  <si>
    <t xml:space="preserve">OFS 3/2025</t>
  </si>
  <si>
    <t xml:space="preserve">Indicação: Silvio Roberto Oliveira de Amorim Junior (CNJ)</t>
  </si>
  <si>
    <t xml:space="preserve">MSF 87/2024</t>
  </si>
  <si>
    <t xml:space="preserve">Indicação: Wadih Nemer Damous Filho (ANS)</t>
  </si>
  <si>
    <t xml:space="preserve">OFS 8/2025</t>
  </si>
  <si>
    <t xml:space="preserve">Indicação: José de Lima Ramos Pereira (CNMP)</t>
  </si>
  <si>
    <t xml:space="preserve">OFS 5/2025</t>
  </si>
  <si>
    <t xml:space="preserve">OFS 6/2025</t>
  </si>
  <si>
    <t xml:space="preserve">Indicação: Alexandre Magno Benites de Lacerda (CNMP)</t>
  </si>
  <si>
    <t xml:space="preserve">OFS 7/2025</t>
  </si>
  <si>
    <t xml:space="preserve">Indicação: Clementino Augusto Ruffeil Rodrigues (CNMP)</t>
  </si>
  <si>
    <t xml:space="preserve">MSF 91/2024</t>
  </si>
  <si>
    <t xml:space="preserve">Indicação: Leandro Pinheiro Safatle (Anvisa)</t>
  </si>
  <si>
    <t xml:space="preserve">MSF 35/2025</t>
  </si>
  <si>
    <t xml:space="preserve">Indicação: Thiago Lopes Cardoso Campos (Anvisa)</t>
  </si>
  <si>
    <t xml:space="preserve">MSF 97/2024</t>
  </si>
  <si>
    <t xml:space="preserve">Indicação: Leonardo Góes Silva (ANA)</t>
  </si>
  <si>
    <t xml:space="preserve">MSF 88/2024</t>
  </si>
  <si>
    <t xml:space="preserve">Indicação: Tiago Chagas Faierstein (Anac)</t>
  </si>
  <si>
    <t xml:space="preserve">MSF 89/2024</t>
  </si>
  <si>
    <t xml:space="preserve">Indicação: Rui Chagas Mesquita (Anac)</t>
  </si>
  <si>
    <t xml:space="preserve">MSF 37/2025</t>
  </si>
  <si>
    <t xml:space="preserve">Indicação: Antonio Mathias Nogueira Moreira (Anac)</t>
  </si>
  <si>
    <t xml:space="preserve">MSF 42/2025</t>
  </si>
  <si>
    <t xml:space="preserve">Indicação: Edson Victor Eugenio de Holanda (Anatel)</t>
  </si>
  <si>
    <t xml:space="preserve">MSF 45/2025</t>
  </si>
  <si>
    <t xml:space="preserve">Indicação: Octavio Penna Pieranti (Anatel)</t>
  </si>
  <si>
    <t xml:space="preserve">MSF 82/2024</t>
  </si>
  <si>
    <t xml:space="preserve">Indicação: Artur Watt Neto (ANP)</t>
  </si>
  <si>
    <t xml:space="preserve">MSF 83/2024</t>
  </si>
  <si>
    <t xml:space="preserve">Indicação: Pietro Adamo Sampaio Mendes (ANP)</t>
  </si>
  <si>
    <t xml:space="preserve">MSF 41/2025</t>
  </si>
  <si>
    <t xml:space="preserve">Indicação: Willamy Moreira Frota (Aneel)</t>
  </si>
  <si>
    <t xml:space="preserve">MSF 44/2025</t>
  </si>
  <si>
    <t xml:space="preserve">Indicação: Gentil Nogueira de Sá Júnior (Aneel)</t>
  </si>
  <si>
    <t xml:space="preserve">MSF 86/2024</t>
  </si>
  <si>
    <t xml:space="preserve">Indicação: Ailton Fernando Dias (ANSN)</t>
  </si>
  <si>
    <t xml:space="preserve">MSF 52/2025</t>
  </si>
  <si>
    <t xml:space="preserve">Indicação: Lenise Barcellos de Mello Secchin (ANS)</t>
  </si>
  <si>
    <t xml:space="preserve">MSF 38/2025</t>
  </si>
  <si>
    <t xml:space="preserve">Indicação: Alex Antonio de Azevedo Cruz (ANTT)</t>
  </si>
  <si>
    <t xml:space="preserve">MSF 53/2025</t>
  </si>
  <si>
    <t xml:space="preserve">Indicação: Guilherme Theo Rodrigues da Rocha Sampaio (ANTT)</t>
  </si>
  <si>
    <t xml:space="preserve">MSF 93/2024</t>
  </si>
  <si>
    <t xml:space="preserve">Indicação: José Fernando de Mendonça Gomes Júnior (ANM)</t>
  </si>
  <si>
    <t xml:space="preserve">MSF 36/2025</t>
  </si>
  <si>
    <t xml:space="preserve">Indicação: Renata Sousa Cordeiro (Antaq)</t>
  </si>
  <si>
    <t xml:space="preserve">MSF 43/2025</t>
  </si>
  <si>
    <t xml:space="preserve">Indicação: Frederico Carvalho Dias (Antaq)</t>
  </si>
  <si>
    <t xml:space="preserve">MSF 84/2024</t>
  </si>
  <si>
    <t xml:space="preserve">Indicação: Alessandro Facure Neves de Salles Soares (ANSN)</t>
  </si>
  <si>
    <t xml:space="preserve">MSF 85/2024</t>
  </si>
  <si>
    <t xml:space="preserve">Indicação: Lorena Pozzo (ANSN)</t>
  </si>
  <si>
    <t xml:space="preserve">PLP 58/2025</t>
  </si>
  <si>
    <t xml:space="preserve">PLP 58/2025, nos termos do parecer</t>
  </si>
  <si>
    <t xml:space="preserve">PLP 192/2023, com adequações redacionais</t>
  </si>
  <si>
    <t xml:space="preserve">Expressão do §19 do art. 165 da CF na PEC 66/2023, destacada</t>
  </si>
  <si>
    <t xml:space="preserve">PLP 125/2022</t>
  </si>
  <si>
    <t xml:space="preserve">Emenda nº 6 (Substitutivo) ao PLP 125/2022, com subemenda de Plenário</t>
  </si>
  <si>
    <t xml:space="preserve">MPV 1300/2025</t>
  </si>
  <si>
    <t xml:space="preserve">PLV 4/2025 e pressupostos da MPV 1.300/2025, ressalvados os destaques</t>
  </si>
  <si>
    <t xml:space="preserve">PLP 168/2025</t>
  </si>
  <si>
    <t xml:space="preserve">PLP 168/2025, ressalvados os destaques</t>
  </si>
  <si>
    <t xml:space="preserve">PLP 108/2024</t>
  </si>
  <si>
    <t xml:space="preserve">Emenda nº 721 (Substitutivo) ao PLP 108/2024, ressalvado o destaque</t>
  </si>
  <si>
    <t xml:space="preserve">Emenda nº 587 ao PLP 108/2024, destacada</t>
  </si>
  <si>
    <t xml:space="preserve">PLP 235/2019 (Substitutivo-CD)</t>
  </si>
  <si>
    <t xml:space="preserve">Substitutivo da CD ao PLP 235/2019</t>
  </si>
  <si>
    <t xml:space="preserve">PL 769/2024</t>
  </si>
  <si>
    <t xml:space="preserve">PL 769/2024, nos termos do parecer</t>
  </si>
  <si>
    <t xml:space="preserve">PLP 204/2025</t>
  </si>
  <si>
    <t xml:space="preserve">Emenda nº 2 (Substitutivo) ao PLP 204/2025</t>
  </si>
  <si>
    <t xml:space="preserve">MSF 78/2025</t>
  </si>
  <si>
    <t xml:space="preserve">Indicação: Severino Medeiros Ramos Neto (ANTT)</t>
  </si>
  <si>
    <t xml:space="preserve">MSF 67/2025</t>
  </si>
  <si>
    <t xml:space="preserve">Indicação: Renata Lúcia Medeiros de Albuquerque Emerenciano (ANA)</t>
  </si>
  <si>
    <t xml:space="preserve">MSF 60/2025</t>
  </si>
  <si>
    <t xml:space="preserve">OFS 11/2025</t>
  </si>
  <si>
    <t xml:space="preserve">Indicação: Jaceguara Dantas da Silva (CNJ)</t>
  </si>
  <si>
    <t xml:space="preserve">OFS 14/2025</t>
  </si>
  <si>
    <t xml:space="preserve">OFS 10/2025</t>
  </si>
  <si>
    <t xml:space="preserve">Indicação: Gustavo Afonso Sabóia Vieira (CNMP)</t>
  </si>
  <si>
    <t xml:space="preserve">OFS 12/2025</t>
  </si>
  <si>
    <t xml:space="preserve">Indicação: Fabio Francisco Esteves (CNJ)</t>
  </si>
  <si>
    <t xml:space="preserve">OFS 15/2025</t>
  </si>
  <si>
    <t xml:space="preserve">OFS 13/2025</t>
  </si>
  <si>
    <t xml:space="preserve">Indicação: Thiago Roberto Morais Diaz (CNMP)</t>
  </si>
  <si>
    <t xml:space="preserve">MSF 76/2025</t>
  </si>
  <si>
    <t xml:space="preserve">Indicação: Anisio David de Oliveira Junior (STM)</t>
  </si>
  <si>
    <t xml:space="preserve">MSF 77/2025</t>
  </si>
  <si>
    <t xml:space="preserve">Indicação: Flavio Marcus Lancia Barbosa (STM)</t>
  </si>
  <si>
    <t xml:space="preserve">PLP 185/2024</t>
  </si>
  <si>
    <t xml:space="preserve">PLP 185/2024, nos termos dos pareceres</t>
  </si>
  <si>
    <t xml:space="preserve">PLP 163/2025</t>
  </si>
  <si>
    <t xml:space="preserve">Emenda nº 1 (Substitutivo) ao PLP 163/2025</t>
  </si>
  <si>
    <t xml:space="preserve">RQS 911/2025</t>
  </si>
  <si>
    <t xml:space="preserve">Calendário especial para a PEC 48/2023</t>
  </si>
  <si>
    <t xml:space="preserve">PEC 48/2023</t>
  </si>
  <si>
    <t xml:space="preserve">PEC 48/2023 (1º turno)</t>
  </si>
  <si>
    <t xml:space="preserve">PEC 48/2023 (2º turno)</t>
  </si>
  <si>
    <t xml:space="preserve">Requerimento nº 911/2025, calendário especial para a PEC 48/2023</t>
  </si>
  <si>
    <t xml:space="preserve">PEC 169/2019</t>
  </si>
  <si>
    <t xml:space="preserve">PEC 169/2019 (1º turno)</t>
  </si>
  <si>
    <t xml:space="preserve">PEC 169/2019 (2º turno)</t>
  </si>
  <si>
    <t xml:space="preserve">PL 5582/2025</t>
  </si>
  <si>
    <t xml:space="preserve">Emenda nº 117 (Substitutivo) ao PL 5.582/2025</t>
  </si>
  <si>
    <t xml:space="preserve">PLP 143/2020</t>
  </si>
  <si>
    <t xml:space="preserve">PLP 143/2020, nos termos do último parecer</t>
  </si>
  <si>
    <t xml:space="preserve">PEC 76/2019</t>
  </si>
  <si>
    <t xml:space="preserve">PEC 76/2019 (1º turno)</t>
  </si>
  <si>
    <t xml:space="preserve">PEC 76/2019 (2º turno)</t>
  </si>
  <si>
    <t xml:space="preserve">PL 2162/2023</t>
  </si>
  <si>
    <t xml:space="preserve">PL 2.162/2023, nos termos do parecer</t>
  </si>
  <si>
    <t xml:space="preserve">PLP 128/2025</t>
  </si>
  <si>
    <t xml:space="preserve">PLP 128/2025, ressalvado o destaque</t>
  </si>
  <si>
    <t xml:space="preserve">Art. 7º do PLP 128/2025, destacado</t>
  </si>
  <si>
    <t xml:space="preserve">PL 2234/2022</t>
  </si>
  <si>
    <t xml:space="preserve">Requerimento nº 857/2024 de urgência para o PL 2.234/2022</t>
  </si>
  <si>
    <t xml:space="preserve">RQS 857/2024</t>
  </si>
  <si>
    <t xml:space="preserve">Urgência para o PL 2.234/2022</t>
  </si>
  <si>
    <t xml:space="preserve">PEC 22/2025</t>
  </si>
  <si>
    <t xml:space="preserve">Emenda nº 5 (Substitutivo) à PEC 22/2025 (1º turno)</t>
  </si>
  <si>
    <t xml:space="preserve">PEC 22/2025 (2º turno)</t>
  </si>
  <si>
    <t xml:space="preserve">PLP 14/2026</t>
  </si>
  <si>
    <t xml:space="preserve">PLP 14/2026, nos termos do parecer</t>
  </si>
  <si>
    <t xml:space="preserve">PL 896/2023</t>
  </si>
  <si>
    <t xml:space="preserve">Emenda nº 8 (Substitutivo) ao PL 896/2023, ressalvado o destaque</t>
  </si>
  <si>
    <t xml:space="preserve">PLP 77/2026</t>
  </si>
  <si>
    <t xml:space="preserve">PLP 77/2026, nos termos do parecer</t>
  </si>
  <si>
    <t xml:space="preserve">PLP 6/2024</t>
  </si>
  <si>
    <t xml:space="preserve">MSF 46/2025</t>
  </si>
  <si>
    <t xml:space="preserve">Indicação: Manuel Adalberto Carlos Montenegro Lopes da Cruz (Jamaica)</t>
  </si>
  <si>
    <t xml:space="preserve">MSF 47/2025</t>
  </si>
  <si>
    <t xml:space="preserve">Indicação: Luís Ivaldo Villafane Gomes Santos (Togo)</t>
  </si>
  <si>
    <t xml:space="preserve">MSF 64/2025</t>
  </si>
  <si>
    <t xml:space="preserve">Indicação: Fernando Meirelles de Azevedo Pimentel (Coreia)</t>
  </si>
  <si>
    <t xml:space="preserve">MSF 55/2025</t>
  </si>
  <si>
    <t xml:space="preserve">Indicação: Márcia Donner Abreu (Barbados)</t>
  </si>
  <si>
    <t xml:space="preserve">MSF 56/2025</t>
  </si>
  <si>
    <t xml:space="preserve">Indicação: Pedro de Castro da Cunha e Menezes (Namíbia)</t>
  </si>
  <si>
    <t xml:space="preserve">MSF 63/2025</t>
  </si>
  <si>
    <t xml:space="preserve">Indicação: André Odenbreit Carvalho (Tailândia)</t>
  </si>
  <si>
    <t xml:space="preserve">MSF 3/2026</t>
  </si>
  <si>
    <t xml:space="preserve">Indicação: Alexandre Peña Ghisleni (Austrália)</t>
  </si>
  <si>
    <t xml:space="preserve">MSF 61/2025</t>
  </si>
  <si>
    <t xml:space="preserve">Indicação: Haroldo de Macedo Ribeiro (Finlândia)</t>
  </si>
  <si>
    <t xml:space="preserve">MSF 83/2025</t>
  </si>
  <si>
    <t xml:space="preserve">Indicação: Pedro Murilo Ortega Terra (Nova Zelândia)</t>
  </si>
  <si>
    <t xml:space="preserve">PDL 249/2026</t>
  </si>
  <si>
    <t xml:space="preserve">Projeto de Decreto Legislativo nº 249/2026</t>
  </si>
  <si>
    <t xml:space="preserve">MSF 57/2025</t>
  </si>
  <si>
    <t xml:space="preserve">Indicação: Eduardo Botelho Barbosa (Síria)</t>
  </si>
  <si>
    <t xml:space="preserve">MSF 62/2025</t>
  </si>
  <si>
    <t xml:space="preserve">Indicação: João de Mendonça Lima Neto (Congo)</t>
  </si>
  <si>
    <t xml:space="preserve">MSF 65/2025</t>
  </si>
  <si>
    <t xml:space="preserve">Indicação: Luiz Cesar Gasser (Polônia)</t>
  </si>
  <si>
    <t xml:space="preserve">MSF 69/2025</t>
  </si>
  <si>
    <t xml:space="preserve">Indicação: Alfredo Cesar Martinho Leoni (Iraque)</t>
  </si>
  <si>
    <t xml:space="preserve">MSF 80/2025</t>
  </si>
  <si>
    <t xml:space="preserve">Indicação: Jorge Geraldo Kadri (Sri Lanka e Maldivas)</t>
  </si>
  <si>
    <t xml:space="preserve">MSF 84/2025</t>
  </si>
  <si>
    <t xml:space="preserve">Indicação: João Alfredo dos Anjos Junior (Quênia)</t>
  </si>
  <si>
    <t xml:space="preserve">MSF 70/2025</t>
  </si>
  <si>
    <t xml:space="preserve">Indicação: Claudio Raja Gabaglia Lins (Nepal)</t>
  </si>
  <si>
    <t xml:space="preserve">MSF 85/2025</t>
  </si>
  <si>
    <t xml:space="preserve">Indicação: Ricardo Primo Portugal (Coreia do Norte)</t>
  </si>
  <si>
    <t xml:space="preserve">MSF 68/2025</t>
  </si>
  <si>
    <t xml:space="preserve">Indicação: Laudemar Gonçalves de Aguiar Neto (Grécia)</t>
  </si>
  <si>
    <t xml:space="preserve">OFS 16/2025</t>
  </si>
  <si>
    <t xml:space="preserve">Indicação: Marcio Barra Lima (CNMP)</t>
  </si>
  <si>
    <t xml:space="preserve">OFS 19/2025</t>
  </si>
  <si>
    <t xml:space="preserve">Indicação: Carl Olav Smith (CNMP)</t>
  </si>
  <si>
    <t xml:space="preserve">OFS 17/2025</t>
  </si>
  <si>
    <t xml:space="preserve">Indicação: Ilan Presser (CNJ)</t>
  </si>
  <si>
    <t xml:space="preserve">OFS 18/2025</t>
  </si>
  <si>
    <t xml:space="preserve">Indicação: Andréa Cunha Esmeraldo (CNJ)</t>
  </si>
  <si>
    <t xml:space="preserve">OFS 1/2026</t>
  </si>
  <si>
    <t xml:space="preserve">Indicação: Kátia Magalhães Arruda (CNJ)</t>
  </si>
  <si>
    <t xml:space="preserve">OFS 2/2026</t>
  </si>
  <si>
    <t xml:space="preserve">Indicação: Paulo Regis Machado Botelho (CNJ)</t>
  </si>
  <si>
    <t xml:space="preserve">OFS 3/2026</t>
  </si>
  <si>
    <t xml:space="preserve">Indicação: Noemia Aparecida Garcia Porto (CNJ)</t>
  </si>
  <si>
    <t xml:space="preserve">MSF 8/2026</t>
  </si>
  <si>
    <t xml:space="preserve">Indicação: Margareth Rodrigues Costa (TST)</t>
  </si>
  <si>
    <t xml:space="preserve">MSF 12/2026</t>
  </si>
  <si>
    <t xml:space="preserve">Indicação: Tarcijany Linhares Aguiar Machado (DPU)</t>
  </si>
  <si>
    <t xml:space="preserve">MSF 7/2026</t>
  </si>
  <si>
    <t xml:space="preserve">Indicação: Jorge Rodrigo Araújo Messias (STF)</t>
  </si>
  <si>
    <t xml:space="preserve">MSF 25/2026</t>
  </si>
  <si>
    <t xml:space="preserve">Indicação: Ricardo de Souza Monteiro (ONU)</t>
  </si>
  <si>
    <t xml:space="preserve">MSF 19/2026</t>
  </si>
  <si>
    <t xml:space="preserve">Indicação: Fabio Vaz Pitaluga (Albânia)</t>
  </si>
  <si>
    <t xml:space="preserve">MSF 16/2026</t>
  </si>
  <si>
    <t xml:space="preserve">Indicação: Paulo Roberto Soares Pacheco (Japão)</t>
  </si>
  <si>
    <t xml:space="preserve">MSF 15/2026</t>
  </si>
  <si>
    <t xml:space="preserve">Indicação: Marcelo Paz Saraiva Câmara (Vietnã)</t>
  </si>
  <si>
    <t xml:space="preserve">MSF 14/2026</t>
  </si>
  <si>
    <t xml:space="preserve">Indicação: João Batista do Nascimento Magalhães (Omã)</t>
  </si>
  <si>
    <t xml:space="preserve">MSF 17/2026</t>
  </si>
  <si>
    <t xml:space="preserve">Indicação: Olyntho Vieira (Belize)</t>
  </si>
  <si>
    <t xml:space="preserve">MSF 18/2026</t>
  </si>
  <si>
    <t xml:space="preserve">Indicação: Ricardo André Vieira Diniz (Bahamas)</t>
  </si>
  <si>
    <t xml:space="preserve">MSF 1/2026</t>
  </si>
  <si>
    <t xml:space="preserve">Indicação: Otto Eduardo Fonseca de Albuquerque Lobo (CVM)</t>
  </si>
  <si>
    <t xml:space="preserve">MSF 2/2026</t>
  </si>
  <si>
    <t xml:space="preserve">Indicação: Igor Muniz (CVM)</t>
  </si>
  <si>
    <t xml:space="preserve">PLP 11/2026</t>
  </si>
  <si>
    <t xml:space="preserve">PLP 55/2026</t>
  </si>
  <si>
    <t xml:space="preserve">PLP 55/2026, nos termos do parecer</t>
  </si>
  <si>
    <t xml:space="preserve">OFS 4/2026</t>
  </si>
  <si>
    <t xml:space="preserve">Indicação: Benedito Gonçalves (CNJ)</t>
  </si>
  <si>
    <t xml:space="preserve">PLP 128/2022</t>
  </si>
  <si>
    <t xml:space="preserve">PLP 128/2022, nos termos dos pareceres</t>
  </si>
  <si>
    <t xml:space="preserve">PLP 73/2025</t>
  </si>
  <si>
    <t xml:space="preserve">PLP 73/2025, nos termos dos pareceres</t>
  </si>
  <si>
    <t xml:space="preserve">PEC 14/2021</t>
  </si>
  <si>
    <t xml:space="preserve">PEC 14/2021 (1º turno)</t>
  </si>
  <si>
    <t xml:space="preserve">PEC 14/2021 (2º turno)</t>
  </si>
  <si>
    <t xml:space="preserve">PLP 18/2021</t>
  </si>
  <si>
    <t xml:space="preserve">PLP 18/2021, ressalvados os destaques</t>
  </si>
  <si>
    <t xml:space="preserve">Emenda nº 2 ao PLP 18/2021, destacada</t>
  </si>
  <si>
    <t xml:space="preserve">Emenda nº 4 ao PLP 18/2021, destacada</t>
  </si>
  <si>
    <t xml:space="preserve">PLP 124/2022 (Substitutivo-CD)</t>
  </si>
  <si>
    <t xml:space="preserve">Substitutivo da CD ao PLP 124/2022, texto consolidado</t>
  </si>
  <si>
    <t xml:space="preserve">PLP 114/2026</t>
  </si>
  <si>
    <t xml:space="preserve">PLP 114/2026, ressalvado o destaque</t>
  </si>
  <si>
    <t xml:space="preserve">Art. 13 do PLP 114/2026, destacado</t>
  </si>
  <si>
    <t xml:space="preserve">PDL 995/2026</t>
  </si>
  <si>
    <t xml:space="preserve">Projeto de Decreto Legislativo nº 995/2026</t>
  </si>
  <si>
    <t xml:space="preserve">PLP 74/2026</t>
  </si>
  <si>
    <t xml:space="preserve">PLP 74/2026, nos termos do parecer</t>
  </si>
  <si>
    <t xml:space="preserve">PEC 221/2019</t>
  </si>
  <si>
    <t xml:space="preserve">PEC 221/2019, 1º turno</t>
  </si>
  <si>
    <t xml:space="preserve">PEC 221/2019, 2º turno</t>
  </si>
  <si>
    <t xml:space="preserve">PLP 186/2026</t>
  </si>
  <si>
    <t xml:space="preserve">PLP 186/2026, nos termos do parecer</t>
  </si>
  <si>
    <t xml:space="preserve">Tipo de votação</t>
  </si>
  <si>
    <t xml:space="preserve">O que estava em votação</t>
  </si>
  <si>
    <t xml:space="preserve">Placar (Sim a Não)</t>
  </si>
  <si>
    <t xml:space="preserve">Orientação do governo</t>
  </si>
  <si>
    <t xml:space="preserve">Orientação do PL</t>
  </si>
  <si>
    <t xml:space="preserve">Sinais automáticos</t>
  </si>
  <si>
    <t xml:space="preserve">Texto principal</t>
  </si>
  <si>
    <t xml:space="preserve">Inclui o município de Uruana de Minas na RIDE do Distrito Federal</t>
  </si>
  <si>
    <t xml:space="preserve">59 a 0</t>
  </si>
  <si>
    <t xml:space="preserve">Não orientou</t>
  </si>
  <si>
    <t xml:space="preserve">Autoriza Recife a contratar crédito externo de até US$ 260 milhões</t>
  </si>
  <si>
    <t xml:space="preserve">63 a 0</t>
  </si>
  <si>
    <t xml:space="preserve">voto com placar folgado</t>
  </si>
  <si>
    <t xml:space="preserve">Destaque ou emenda</t>
  </si>
  <si>
    <t xml:space="preserve">Mantém na Lei Geral do Esporte as expressões que combatem racismo, xenofobia, homofobia e sexismo</t>
  </si>
  <si>
    <t xml:space="preserve">43 a 23</t>
  </si>
  <si>
    <t xml:space="preserve">contra o governo</t>
  </si>
  <si>
    <t xml:space="preserve">Veda ICMS na transferência de mercadoria entre estabelecimentos do mesmo contribuinte</t>
  </si>
  <si>
    <t xml:space="preserve">62 a 0</t>
  </si>
  <si>
    <t xml:space="preserve">Regulamenta a aposentadoria especial no Regime Geral de Previdência</t>
  </si>
  <si>
    <t xml:space="preserve">66 a 0</t>
  </si>
  <si>
    <t xml:space="preserve">Liberou</t>
  </si>
  <si>
    <t xml:space="preserve">Permite permuta entre juízes de tribunais diferentes</t>
  </si>
  <si>
    <t xml:space="preserve">67 a 0</t>
  </si>
  <si>
    <t xml:space="preserve">PEC: folga sobre os 49 votos = 18; voto com placar folgado</t>
  </si>
  <si>
    <t xml:space="preserve">Organização dos ministérios do governo Lula (MPV 1.154/2023)</t>
  </si>
  <si>
    <t xml:space="preserve">51 a 19</t>
  </si>
  <si>
    <t xml:space="preserve">Prazo adicional para permissões lotéricas</t>
  </si>
  <si>
    <t xml:space="preserve">65 a 1</t>
  </si>
  <si>
    <t xml:space="preserve">PEC: folga sobre os 49 votos = 16; voto com placar folgado</t>
  </si>
  <si>
    <t xml:space="preserve">PEC: folga sobre os 49 votos = 13; voto com placar folgado</t>
  </si>
  <si>
    <t xml:space="preserve">Mantém coeficientes do FPM de municípios que perderam população no Censo</t>
  </si>
  <si>
    <t xml:space="preserve">presente sem votar (votou outros itens no dia)</t>
  </si>
  <si>
    <t xml:space="preserve">Emenda à MPV 1.165/2023 (Mais Médicos)</t>
  </si>
  <si>
    <t xml:space="preserve">29 a 47</t>
  </si>
  <si>
    <t xml:space="preserve">Regime fiscal sustentável (arcabouço fiscal)</t>
  </si>
  <si>
    <t xml:space="preserve">57 a 17</t>
  </si>
  <si>
    <t xml:space="preserve">Emenda ao arcabouço fiscal</t>
  </si>
  <si>
    <t xml:space="preserve">26 a 39</t>
  </si>
  <si>
    <t xml:space="preserve">21 a 48</t>
  </si>
  <si>
    <t xml:space="preserve">5 a 59</t>
  </si>
  <si>
    <t xml:space="preserve">Critérios e metas para avaliar benefícios fiscais</t>
  </si>
  <si>
    <t xml:space="preserve">65 a 0</t>
  </si>
  <si>
    <t xml:space="preserve">Estatuto de simplificação de obrigações tributárias acessórias</t>
  </si>
  <si>
    <t xml:space="preserve">Resposta financeira da União a calamidades públicas</t>
  </si>
  <si>
    <t xml:space="preserve">61 a 0</t>
  </si>
  <si>
    <t xml:space="preserve">Voto de qualidade no Carf e contencioso tributário</t>
  </si>
  <si>
    <t xml:space="preserve">34 a 27</t>
  </si>
  <si>
    <t xml:space="preserve">Quadro em extinção de servidores dos ex-territórios</t>
  </si>
  <si>
    <t xml:space="preserve">70 a 0</t>
  </si>
  <si>
    <t xml:space="preserve">PEC: folga sobre os 49 votos = 21; voto com placar folgado</t>
  </si>
  <si>
    <t xml:space="preserve">68 a 0</t>
  </si>
  <si>
    <t xml:space="preserve">PEC: folga sobre os 49 votos = 19; voto com placar folgado</t>
  </si>
  <si>
    <t xml:space="preserve">Procedimento</t>
  </si>
  <si>
    <t xml:space="preserve">Urgência para o marco temporal das terras indígenas</t>
  </si>
  <si>
    <t xml:space="preserve">41 a 20</t>
  </si>
  <si>
    <t xml:space="preserve">ausente</t>
  </si>
  <si>
    <t xml:space="preserve">Marco temporal das terras indígenas</t>
  </si>
  <si>
    <t xml:space="preserve">43 a 21</t>
  </si>
  <si>
    <t xml:space="preserve">Marco temporal, dispositivo destacado</t>
  </si>
  <si>
    <t xml:space="preserve">34 a 22</t>
  </si>
  <si>
    <t xml:space="preserve">Compensação da União aos estados pelas perdas de ICMS</t>
  </si>
  <si>
    <t xml:space="preserve">63 a 2</t>
  </si>
  <si>
    <t xml:space="preserve">Serviços postais dos órgãos públicos federais pelos Correios</t>
  </si>
  <si>
    <t xml:space="preserve">41 a 23</t>
  </si>
  <si>
    <t xml:space="preserve">Preferência para substitutivo ao PL 5.384/2020</t>
  </si>
  <si>
    <t xml:space="preserve">24 a 46</t>
  </si>
  <si>
    <t xml:space="preserve">Adiamento da votação do PL 2.470/2022</t>
  </si>
  <si>
    <t xml:space="preserve">37 a 34</t>
  </si>
  <si>
    <t xml:space="preserve">Dispositivo destacado do PL 4.426/2023</t>
  </si>
  <si>
    <t xml:space="preserve">51 a 18</t>
  </si>
  <si>
    <t xml:space="preserve">Calendário especial para a reforma tributária</t>
  </si>
  <si>
    <t xml:space="preserve">48 a 24</t>
  </si>
  <si>
    <t xml:space="preserve">Reforma tributária, 1º turno</t>
  </si>
  <si>
    <t xml:space="preserve">53 a 24</t>
  </si>
  <si>
    <t xml:space="preserve">contra o governo; PEC: folga sobre os 49 votos = 4</t>
  </si>
  <si>
    <t xml:space="preserve">Emenda à reforma tributária</t>
  </si>
  <si>
    <t xml:space="preserve">31 a 41</t>
  </si>
  <si>
    <t xml:space="preserve">68 a 1</t>
  </si>
  <si>
    <t xml:space="preserve">32 a 39</t>
  </si>
  <si>
    <t xml:space="preserve">Reforma tributária, 2º turno</t>
  </si>
  <si>
    <t xml:space="preserve">Prorroga prazo de execução da Lei Paulo Gustavo</t>
  </si>
  <si>
    <t xml:space="preserve">74 a 0</t>
  </si>
  <si>
    <t xml:space="preserve">Calendário especial para PEC que limita decisões individuais no STF</t>
  </si>
  <si>
    <t xml:space="preserve">48 a 20</t>
  </si>
  <si>
    <t xml:space="preserve">Limita pedidos de vista e decisões individuais nos tribunais, 1º turno</t>
  </si>
  <si>
    <t xml:space="preserve">52 a 18</t>
  </si>
  <si>
    <t xml:space="preserve">Limita pedidos de vista e decisões individuais nos tribunais, 2º turno</t>
  </si>
  <si>
    <t xml:space="preserve">PEC: folga sobre os 49 votos = 3</t>
  </si>
  <si>
    <t xml:space="preserve">Despesas com programa de permanência de estudantes no ensino médio (Pé-de-Meia)</t>
  </si>
  <si>
    <t xml:space="preserve">Encerramento da discussão do projeto das apostas esportivas</t>
  </si>
  <si>
    <t xml:space="preserve">45 a 14</t>
  </si>
  <si>
    <t xml:space="preserve">contra o PL</t>
  </si>
  <si>
    <t xml:space="preserve">Emenda ao projeto das apostas esportivas</t>
  </si>
  <si>
    <t xml:space="preserve">37 a 27</t>
  </si>
  <si>
    <t xml:space="preserve">45 a 23</t>
  </si>
  <si>
    <t xml:space="preserve">25 a 36</t>
  </si>
  <si>
    <t xml:space="preserve">Subvenções de ICMS e crédito fiscal (MPV 1.185/2023)</t>
  </si>
  <si>
    <t xml:space="preserve">48 a 22</t>
  </si>
  <si>
    <t xml:space="preserve">Emenda à MPV das subvenções de ICMS</t>
  </si>
  <si>
    <t xml:space="preserve">Fim da saída temporária de presos e exame criminológico para progressão</t>
  </si>
  <si>
    <t xml:space="preserve">62 a 2</t>
  </si>
  <si>
    <t xml:space="preserve">Emenda ao projeto da saída temporária</t>
  </si>
  <si>
    <t xml:space="preserve">27 a 37</t>
  </si>
  <si>
    <t xml:space="preserve">Cédula de crédito microempresarial para micro e pequenas empresas</t>
  </si>
  <si>
    <t xml:space="preserve">62 a 3</t>
  </si>
  <si>
    <t xml:space="preserve">Isenção de IPVA para veículos com mais de 20 anos, 1º turno</t>
  </si>
  <si>
    <t xml:space="preserve">66 a 4</t>
  </si>
  <si>
    <t xml:space="preserve">PEC: folga sobre os 49 votos = 17</t>
  </si>
  <si>
    <t xml:space="preserve">Isenção de IPVA para veículos com mais de 20 anos, 2º turno</t>
  </si>
  <si>
    <t xml:space="preserve">65 a 4</t>
  </si>
  <si>
    <t xml:space="preserve">PEC: folga sobre os 49 votos = 16</t>
  </si>
  <si>
    <t xml:space="preserve">Contrato de investimento conversível em capital social (startups)</t>
  </si>
  <si>
    <t xml:space="preserve">71 a 0</t>
  </si>
  <si>
    <t xml:space="preserve">PEC que criminaliza porte de qualquer quantidade de droga, 1º turno</t>
  </si>
  <si>
    <t xml:space="preserve">53 a 9</t>
  </si>
  <si>
    <t xml:space="preserve">PEC: folga sobre os 49 votos = 4</t>
  </si>
  <si>
    <t xml:space="preserve">PEC que criminaliza porte de qualquer quantidade de droga, 2º turno</t>
  </si>
  <si>
    <t xml:space="preserve">52 a 9</t>
  </si>
  <si>
    <t xml:space="preserve">Prazo para estados e municípios executarem transposições de saldos</t>
  </si>
  <si>
    <t xml:space="preserve">57 a 0</t>
  </si>
  <si>
    <t xml:space="preserve">Recria o seguro obrigatório para vítimas de acidentes de trânsito (SPVAT)</t>
  </si>
  <si>
    <t xml:space="preserve">41 a 28</t>
  </si>
  <si>
    <t xml:space="preserve">Dispositivo destacado do SPVAT</t>
  </si>
  <si>
    <t xml:space="preserve">43 a 25</t>
  </si>
  <si>
    <t xml:space="preserve">Emenda ao SPVAT</t>
  </si>
  <si>
    <t xml:space="preserve">25 a 39</t>
  </si>
  <si>
    <t xml:space="preserve">27 a 33</t>
  </si>
  <si>
    <t xml:space="preserve">Adia dívida de estados atingidos por calamidade (Rio Grande do Sul)</t>
  </si>
  <si>
    <t xml:space="preserve">Emenda ao projeto da dívida dos estados em calamidade</t>
  </si>
  <si>
    <t xml:space="preserve">30 a 33</t>
  </si>
  <si>
    <t xml:space="preserve">Proteção à população LGBT+ encarcerada</t>
  </si>
  <si>
    <t xml:space="preserve">Requerimento de Flávio Bolsonaro de preferência para substitutivo ao PL 1.958/2021</t>
  </si>
  <si>
    <t xml:space="preserve">29 a 32</t>
  </si>
  <si>
    <t xml:space="preserve">Programa Mobilidade Verde e Inovação (Mover) e conteúdo local</t>
  </si>
  <si>
    <t xml:space="preserve">Capítulo destacado do PLC 29/2017</t>
  </si>
  <si>
    <t xml:space="preserve">41 a 27</t>
  </si>
  <si>
    <t xml:space="preserve">Gastos com hospitais universitários no mínimo constitucional da saúde</t>
  </si>
  <si>
    <t xml:space="preserve">60 a 0</t>
  </si>
  <si>
    <t xml:space="preserve">Emenda ao PL 2.308/2023</t>
  </si>
  <si>
    <t xml:space="preserve">8 a 50</t>
  </si>
  <si>
    <t xml:space="preserve">Cooperativas nos fundos de desenvolvimento do Nordeste, Amazônia e Centro-Oeste</t>
  </si>
  <si>
    <t xml:space="preserve">50 a 0</t>
  </si>
  <si>
    <t xml:space="preserve">Dispositivo destacado do substitutivo ao PLS 135/2010</t>
  </si>
  <si>
    <t xml:space="preserve">17 a 48</t>
  </si>
  <si>
    <t xml:space="preserve">Programa de pagamento das dívidas dos estados (Propag)</t>
  </si>
  <si>
    <t xml:space="preserve">70 a 2</t>
  </si>
  <si>
    <t xml:space="preserve">Parcelamento de dívidas previdenciárias dos municípios, 1º turno</t>
  </si>
  <si>
    <t xml:space="preserve">64 a 0</t>
  </si>
  <si>
    <t xml:space="preserve">PEC: folga sobre os 49 votos = 15; voto com placar folgado</t>
  </si>
  <si>
    <t xml:space="preserve">Parcelamento de dívidas previdenciárias dos municípios, 2º turno</t>
  </si>
  <si>
    <t xml:space="preserve">PEC: folga sobre os 49 votos = 14; voto com placar folgado</t>
  </si>
  <si>
    <t xml:space="preserve">Eleição dos órgãos diretivos dos Tribunais de Justiça, 1º turno</t>
  </si>
  <si>
    <t xml:space="preserve">57 a 5</t>
  </si>
  <si>
    <t xml:space="preserve">PEC: folga sobre os 49 votos = 8</t>
  </si>
  <si>
    <t xml:space="preserve">Eleição dos órgãos diretivos dos Tribunais de Justiça, 2º turno</t>
  </si>
  <si>
    <t xml:space="preserve">57 a 3</t>
  </si>
  <si>
    <t xml:space="preserve">Recursos para candidaturas negras e refinanciamento de dívidas de partidos, 1º turno</t>
  </si>
  <si>
    <t xml:space="preserve">51 a 15</t>
  </si>
  <si>
    <t xml:space="preserve">PEC: folga sobre os 49 votos = 2</t>
  </si>
  <si>
    <t xml:space="preserve">Recursos para candidaturas negras e refinanciamento de dívidas de partidos, 2º turno</t>
  </si>
  <si>
    <t xml:space="preserve">54 a 16</t>
  </si>
  <si>
    <t xml:space="preserve">PEC: folga sobre os 49 votos = 5</t>
  </si>
  <si>
    <t xml:space="preserve">Emenda ao PL 528/2020</t>
  </si>
  <si>
    <t xml:space="preserve">44 a 25</t>
  </si>
  <si>
    <t xml:space="preserve">Emenda ao PL 182/2024</t>
  </si>
  <si>
    <t xml:space="preserve">52 a 16</t>
  </si>
  <si>
    <t xml:space="preserve">Regras de transparência e execução das emendas parlamentares</t>
  </si>
  <si>
    <t xml:space="preserve">46 a 18</t>
  </si>
  <si>
    <t xml:space="preserve">Bloqueio de emendas parlamentares, dispositivo destacado</t>
  </si>
  <si>
    <t xml:space="preserve">14 a 47</t>
  </si>
  <si>
    <t xml:space="preserve">Dispositivo destacado do projeto das emendas parlamentares</t>
  </si>
  <si>
    <t xml:space="preserve">Subemenda ao projeto das emendas parlamentares</t>
  </si>
  <si>
    <t xml:space="preserve">Uso de saldos do FNDE por estados e municípios</t>
  </si>
  <si>
    <t xml:space="preserve">Artigo destacado do projeto das eólicas offshore (PL 576/2021)</t>
  </si>
  <si>
    <t xml:space="preserve">40 a 28</t>
  </si>
  <si>
    <t xml:space="preserve">Regulamentação da reforma tributária (IBS, CBS e Imposto Seletivo)</t>
  </si>
  <si>
    <t xml:space="preserve">49 a 19</t>
  </si>
  <si>
    <t xml:space="preserve">Emenda à regulamentação da reforma tributária</t>
  </si>
  <si>
    <t xml:space="preserve">33 a 32</t>
  </si>
  <si>
    <t xml:space="preserve">29 a 33</t>
  </si>
  <si>
    <t xml:space="preserve">37 a 24</t>
  </si>
  <si>
    <t xml:space="preserve">Competência para legislar sobre segurança cibernética, 1º turno</t>
  </si>
  <si>
    <t xml:space="preserve">64 a 1</t>
  </si>
  <si>
    <t xml:space="preserve">Competência para legislar sobre segurança cibernética, 2º turno</t>
  </si>
  <si>
    <t xml:space="preserve">Propag, texto da Câmara</t>
  </si>
  <si>
    <t xml:space="preserve">72 a 0</t>
  </si>
  <si>
    <t xml:space="preserve">Cooperativas de seguros e proteção patrimonial mutualista</t>
  </si>
  <si>
    <t xml:space="preserve">Prevenção de litígios e consensualidade em matéria tributária</t>
  </si>
  <si>
    <t xml:space="preserve">63 a 1</t>
  </si>
  <si>
    <t xml:space="preserve">ISS de guincho e guindaste no local da obra</t>
  </si>
  <si>
    <t xml:space="preserve">Emenda ao PL 4.932/2024</t>
  </si>
  <si>
    <t xml:space="preserve">16 a 42</t>
  </si>
  <si>
    <t xml:space="preserve">Ajustes no arcabouço fiscal (pacote de corte de gastos)</t>
  </si>
  <si>
    <t xml:space="preserve">72 a 1</t>
  </si>
  <si>
    <t xml:space="preserve">Emenda ao pacote fiscal</t>
  </si>
  <si>
    <t xml:space="preserve">22 a 43</t>
  </si>
  <si>
    <t xml:space="preserve">27 a 42</t>
  </si>
  <si>
    <t xml:space="preserve">PEC do pacote fiscal (supersalários, Fundeb, abono salarial), 1º turno</t>
  </si>
  <si>
    <t xml:space="preserve">53 a 21</t>
  </si>
  <si>
    <t xml:space="preserve">Dispositivo destacado da PEC do pacote fiscal (teto e verbas indenizatórias)</t>
  </si>
  <si>
    <t xml:space="preserve">22 a 48</t>
  </si>
  <si>
    <t xml:space="preserve">PEC do pacote fiscal, 2º turno</t>
  </si>
  <si>
    <t xml:space="preserve">55 a 18</t>
  </si>
  <si>
    <t xml:space="preserve">contra o governo; PEC: folga sobre os 49 votos = 6</t>
  </si>
  <si>
    <t xml:space="preserve">Projeto do pacote fiscal com regras do BPC e outras políticas</t>
  </si>
  <si>
    <t xml:space="preserve">42 a 31</t>
  </si>
  <si>
    <t xml:space="preserve">Prazo para liquidação de restos a pagar</t>
  </si>
  <si>
    <t xml:space="preserve">Inclui o Pantanal entre os patrimônios nacionais da Constituição, 1º turno</t>
  </si>
  <si>
    <t xml:space="preserve">ausente; PEC: folga sobre os 49 votos = 23</t>
  </si>
  <si>
    <t xml:space="preserve">Inclui o Pantanal entre os patrimônios nacionais da Constituição, 2º turno</t>
  </si>
  <si>
    <t xml:space="preserve">ausente; PEC: folga sobre os 49 votos = 21</t>
  </si>
  <si>
    <t xml:space="preserve">Questão de ordem sobre o PLP 192/2023 (Lei de Inelegibilidades)</t>
  </si>
  <si>
    <t xml:space="preserve">34 a 21</t>
  </si>
  <si>
    <t xml:space="preserve">Prazo para liquidação de restos a pagar, texto da Câmara</t>
  </si>
  <si>
    <t xml:space="preserve">66 a 2</t>
  </si>
  <si>
    <t xml:space="preserve">Participação popular e audiências públicas na elaboração do orçamento</t>
  </si>
  <si>
    <t xml:space="preserve">54 a 2</t>
  </si>
  <si>
    <t xml:space="preserve">Exige de produtos importados padrões ambientais compatíveis com os do Brasil</t>
  </si>
  <si>
    <t xml:space="preserve">Inclui o saneamento básico entre os direitos sociais, 1º turno</t>
  </si>
  <si>
    <t xml:space="preserve">Inclui o saneamento básico entre os direitos sociais, 2º turno</t>
  </si>
  <si>
    <t xml:space="preserve">PEC: folga sobre os 49 votos = 10</t>
  </si>
  <si>
    <t xml:space="preserve">Flexibiliza uso de recursos transferidos na educação</t>
  </si>
  <si>
    <t xml:space="preserve">52 a 0</t>
  </si>
  <si>
    <t xml:space="preserve">Competência concorrente para legislar sobre proteção ao idoso, 1º turno</t>
  </si>
  <si>
    <t xml:space="preserve">ausente; PEC: folga sobre os 49 votos = 8</t>
  </si>
  <si>
    <t xml:space="preserve">Competência concorrente para legislar sobre proteção ao idoso, 2º turno</t>
  </si>
  <si>
    <t xml:space="preserve">55 a 0</t>
  </si>
  <si>
    <t xml:space="preserve">ausente; PEC: folga sobre os 49 votos = 6</t>
  </si>
  <si>
    <t xml:space="preserve">Nova lei geral do licenciamento ambiental (PL 2.159/2021)</t>
  </si>
  <si>
    <t xml:space="preserve">54 a 13</t>
  </si>
  <si>
    <t xml:space="preserve">Guardas municipais e agentes de trânsito na segurança pública, 1º turno</t>
  </si>
  <si>
    <t xml:space="preserve">ausente; PEC: folga sobre os 49 votos = 16</t>
  </si>
  <si>
    <t xml:space="preserve">Emenda à PEC das guardas municipais</t>
  </si>
  <si>
    <t xml:space="preserve">Guardas municipais e agentes de trânsito na segurança pública, 2º turno</t>
  </si>
  <si>
    <t xml:space="preserve">Compras públicas para fomentar micro e pequenas empresas</t>
  </si>
  <si>
    <t xml:space="preserve">56 a 0</t>
  </si>
  <si>
    <t xml:space="preserve">Urgência para o projeto que aumenta o número de deputados</t>
  </si>
  <si>
    <t xml:space="preserve">43 a 30</t>
  </si>
  <si>
    <t xml:space="preserve">Aumenta o número de deputados federais</t>
  </si>
  <si>
    <t xml:space="preserve">41 a 33</t>
  </si>
  <si>
    <t xml:space="preserve">Emenda ao projeto do número de deputados</t>
  </si>
  <si>
    <t xml:space="preserve">20 a 26</t>
  </si>
  <si>
    <t xml:space="preserve">Artigo destacado do PLV 2/2025 (MPV 1.291/2025)</t>
  </si>
  <si>
    <t xml:space="preserve">37 a 17</t>
  </si>
  <si>
    <t xml:space="preserve">Programa Acredita Exportação para pequenos negócios</t>
  </si>
  <si>
    <t xml:space="preserve">Educação como vetor do progresso do país, 1º turno</t>
  </si>
  <si>
    <t xml:space="preserve">Educação como vetor do progresso do país, 2º turno</t>
  </si>
  <si>
    <t xml:space="preserve">PEC: folga sobre os 49 votos = 6</t>
  </si>
  <si>
    <t xml:space="preserve">Condições para incentivos fiscais ao esporte</t>
  </si>
  <si>
    <t xml:space="preserve">presente sem votar</t>
  </si>
  <si>
    <t xml:space="preserve">Limite para precatórios e parcelamento de dívidas previdenciárias, 1º turno</t>
  </si>
  <si>
    <t xml:space="preserve">62 a 4</t>
  </si>
  <si>
    <t xml:space="preserve">presente sem votar; PEC: folga sobre os 49 votos = 13</t>
  </si>
  <si>
    <t xml:space="preserve">Prazo para estados e municípios usarem saldos dos fundos de saúde</t>
  </si>
  <si>
    <t xml:space="preserve">Altera a Lei de Inelegibilidades (Ficha Limpa) e a Lei das Eleições</t>
  </si>
  <si>
    <t xml:space="preserve">50 a 24</t>
  </si>
  <si>
    <t xml:space="preserve">Dispositivo destacado da PEC dos precatórios (limite de despesa)</t>
  </si>
  <si>
    <t xml:space="preserve">49 a 28</t>
  </si>
  <si>
    <t xml:space="preserve">PEC dos precatórios, 2º turno</t>
  </si>
  <si>
    <t xml:space="preserve">71 a 2</t>
  </si>
  <si>
    <t xml:space="preserve">presente sem votar (votou outros itens no dia); PEC: folga sobre os 49 votos = 22</t>
  </si>
  <si>
    <t xml:space="preserve">Código de direitos e deveres dos contribuintes</t>
  </si>
  <si>
    <t xml:space="preserve">Reforma do setor elétrico (MPV 1.300/2025)</t>
  </si>
  <si>
    <t xml:space="preserve">49 a 3</t>
  </si>
  <si>
    <t xml:space="preserve">Obstrução</t>
  </si>
  <si>
    <t xml:space="preserve">Medidas para mitigar o tarifaço dos Estados Unidos sobre exportações brasileiras</t>
  </si>
  <si>
    <t xml:space="preserve">Segunda lei da reforma tributária (Comitê Gestor do IBS)</t>
  </si>
  <si>
    <t xml:space="preserve">51 a 10</t>
  </si>
  <si>
    <t xml:space="preserve">Emenda à segunda lei da reforma tributária</t>
  </si>
  <si>
    <t xml:space="preserve">33 a 27</t>
  </si>
  <si>
    <t xml:space="preserve">Sistema Nacional de Educação</t>
  </si>
  <si>
    <t xml:space="preserve">Cria cargos de polícia judicial no STF</t>
  </si>
  <si>
    <t xml:space="preserve">36 a 18</t>
  </si>
  <si>
    <t xml:space="preserve">Projetos estratégicos da Defesa fora das metas fiscais</t>
  </si>
  <si>
    <t xml:space="preserve">57 a 4</t>
  </si>
  <si>
    <t xml:space="preserve">Aposentadoria especial de agentes comunitários de saúde e de endemias</t>
  </si>
  <si>
    <t xml:space="preserve">Exclui do limite de gastos despesas temporárias com educação e saúde</t>
  </si>
  <si>
    <t xml:space="preserve">47 a 16</t>
  </si>
  <si>
    <t xml:space="preserve">Calendário especial para a PEC do marco temporal</t>
  </si>
  <si>
    <t xml:space="preserve">48 a 21</t>
  </si>
  <si>
    <t xml:space="preserve">PEC do marco temporal das terras indígenas, 1º turno</t>
  </si>
  <si>
    <t xml:space="preserve">52 a 14</t>
  </si>
  <si>
    <t xml:space="preserve">contra o governo; PEC: folga sobre os 49 votos = 3</t>
  </si>
  <si>
    <t xml:space="preserve">PEC do marco temporal das terras indígenas, 2º turno</t>
  </si>
  <si>
    <t xml:space="preserve">52 a 15</t>
  </si>
  <si>
    <t xml:space="preserve">Permite ao professor acumular outro cargo público, 1º turno</t>
  </si>
  <si>
    <t xml:space="preserve">Permite ao professor acumular outro cargo público, 2º turno</t>
  </si>
  <si>
    <t xml:space="preserve">PEC: folga sobre os 49 votos = 17; voto com placar folgado</t>
  </si>
  <si>
    <t xml:space="preserve">Marco legal do combate ao crime organizado</t>
  </si>
  <si>
    <t xml:space="preserve">Pagamento retroativo de adicionais a servidores após a pandemia</t>
  </si>
  <si>
    <t xml:space="preserve">Polícias científicas na segurança pública, 1º turno</t>
  </si>
  <si>
    <t xml:space="preserve">presente sem votar (votou outros itens no dia); PEC: folga sobre os 49 votos = 16</t>
  </si>
  <si>
    <t xml:space="preserve">Polícias científicas na segurança pública, 2º turno</t>
  </si>
  <si>
    <t xml:space="preserve">Muda a Lei de Execução Penal e o Código Penal, reduzindo penas por crimes contra as instituições democráticas (PL da dosimetria)</t>
  </si>
  <si>
    <t xml:space="preserve">48 a 25</t>
  </si>
  <si>
    <t xml:space="preserve">Corte de benefícios fiscais e tributação das apostas</t>
  </si>
  <si>
    <t xml:space="preserve">62 a 6</t>
  </si>
  <si>
    <t xml:space="preserve">Artigo destacado do projeto de corte de benefícios fiscais</t>
  </si>
  <si>
    <t xml:space="preserve">50 a 20</t>
  </si>
  <si>
    <t xml:space="preserve">28 a 36</t>
  </si>
  <si>
    <t xml:space="preserve">Política de apoio ao transporte rodoviário profissional, 1º turno</t>
  </si>
  <si>
    <t xml:space="preserve">presente sem votar (votou outros itens no dia); PEC: folga sobre os 49 votos = 17</t>
  </si>
  <si>
    <t xml:space="preserve">Política de apoio ao transporte rodoviário profissional, 2º turno</t>
  </si>
  <si>
    <t xml:space="preserve">69 a 0</t>
  </si>
  <si>
    <t xml:space="preserve">PEC: folga sobre os 49 votos = 20; voto com placar folgado</t>
  </si>
  <si>
    <t xml:space="preserve">Redução de PIS/Cofins para a indústria química e petroquímica</t>
  </si>
  <si>
    <t xml:space="preserve">59 a 3</t>
  </si>
  <si>
    <t xml:space="preserve">Torna crime a discriminação por misoginia</t>
  </si>
  <si>
    <t xml:space="preserve">Regras sobre benefícios tributários e despesas obrigatórias em 2026</t>
  </si>
  <si>
    <t xml:space="preserve">60 a 1</t>
  </si>
  <si>
    <t xml:space="preserve">Normas gerais para desmembramento de municípios</t>
  </si>
  <si>
    <t xml:space="preserve">Altera a Lei Complementar 224/2025</t>
  </si>
  <si>
    <t xml:space="preserve">Isenção de ISS para a Copa do Mundo Feminina 2027</t>
  </si>
  <si>
    <t xml:space="preserve">58 a 1</t>
  </si>
  <si>
    <t xml:space="preserve">Recursos do Funpen para formação de policiais penais</t>
  </si>
  <si>
    <t xml:space="preserve">54 a 0</t>
  </si>
  <si>
    <t xml:space="preserve">Protege despesas das agências reguladoras de bloqueios</t>
  </si>
  <si>
    <t xml:space="preserve">51 a 17</t>
  </si>
  <si>
    <t xml:space="preserve">Aposentadoria diferenciada de agentes comunitários de saúde, 1º turno</t>
  </si>
  <si>
    <t xml:space="preserve">73 a 1</t>
  </si>
  <si>
    <t xml:space="preserve">ausente; PEC: folga sobre os 49 votos = 24</t>
  </si>
  <si>
    <t xml:space="preserve">Aposentadoria diferenciada de agentes comunitários de saúde, 2º turno</t>
  </si>
  <si>
    <t xml:space="preserve">Emendas parlamentares para o atendimento pré-hospitalar dos bombeiros</t>
  </si>
  <si>
    <t xml:space="preserve">65 a 2</t>
  </si>
  <si>
    <t xml:space="preserve">Emenda ao projeto dos bombeiros</t>
  </si>
  <si>
    <t xml:space="preserve">25 a 33</t>
  </si>
  <si>
    <t xml:space="preserve">14 a 37</t>
  </si>
  <si>
    <t xml:space="preserve">Normas sobre solução de controvérsias em matéria tributária e aduaneira</t>
  </si>
  <si>
    <t xml:space="preserve">Medidas contra o choque de preços de energia causado pela guerra no Oriente Médio</t>
  </si>
  <si>
    <t xml:space="preserve">61 a 2</t>
  </si>
  <si>
    <t xml:space="preserve">Artigo destacado do projeto contra o choque de energia</t>
  </si>
  <si>
    <t xml:space="preserve">43 a 20</t>
  </si>
  <si>
    <t xml:space="preserve">Regime tributário para datacenters e apoio a pessoas com câncer e com deficiência</t>
  </si>
  <si>
    <t xml:space="preserve">Fim da escala 6x1: jornada menor e dois dias de descanso sem redução salarial, 1º turno</t>
  </si>
  <si>
    <t xml:space="preserve">75 a 1</t>
  </si>
  <si>
    <t xml:space="preserve">PEC: folga sobre os 49 votos = 26; voto com placar folgado</t>
  </si>
  <si>
    <t xml:space="preserve">Fim da escala 6x1: jornada menor e dois dias de descanso sem redução salarial, 2º turno</t>
  </si>
  <si>
    <t xml:space="preserve">Atualiza limite de receita e de empregados do MEI</t>
  </si>
  <si>
    <t xml:space="preserve">78 a 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</si>
</sst>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A1F1F"/>
        <bgColor rgb="FF800000"/>
      </patternFill>
    </fill>
    <fill>
      <patternFill patternType="solid">
        <fgColor rgb="FF1F3F8F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7A1F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F8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1F1F"/>
      <rgbColor rgb="FF993366"/>
      <rgbColor rgb="FF1F3F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6" min="2" style="1" width="1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5" t="n">
        <f aca="false">COUNTIFS(Votações!$F$2:$F$427,$A5,Votações!$B$2:$B$427,"2023")</f>
        <v>30</v>
      </c>
      <c r="C5" s="5" t="n">
        <f aca="false">COUNTIFS(Votações!$F$2:$F$427,$A5,Votações!$B$2:$B$427,"2024")</f>
        <v>43</v>
      </c>
      <c r="D5" s="5" t="n">
        <f aca="false">COUNTIFS(Votações!$F$2:$F$427,$A5,Votações!$B$2:$B$427,"2025")</f>
        <v>28</v>
      </c>
      <c r="E5" s="5" t="n">
        <f aca="false">COUNTIFS(Votações!$F$2:$F$427,$A5,Votações!$B$2:$B$427,"2026")</f>
        <v>8</v>
      </c>
      <c r="F5" s="5" t="n">
        <f aca="false">SUM(B5:E5)</f>
        <v>109</v>
      </c>
    </row>
    <row r="6" customFormat="false" ht="15" hidden="false" customHeight="true" outlineLevel="0" collapsed="false">
      <c r="A6" s="5" t="s">
        <v>9</v>
      </c>
      <c r="B6" s="5" t="n">
        <f aca="false">COUNTIFS(Votações!$F$2:$F$427,$A6,Votações!$B$2:$B$427,"2023")</f>
        <v>14</v>
      </c>
      <c r="C6" s="5" t="n">
        <f aca="false">COUNTIFS(Votações!$F$2:$F$427,$A6,Votações!$B$2:$B$427,"2024")</f>
        <v>13</v>
      </c>
      <c r="D6" s="5" t="n">
        <f aca="false">COUNTIFS(Votações!$F$2:$F$427,$A6,Votações!$B$2:$B$427,"2025")</f>
        <v>10</v>
      </c>
      <c r="E6" s="5" t="n">
        <f aca="false">COUNTIFS(Votações!$F$2:$F$427,$A6,Votações!$B$2:$B$427,"2026")</f>
        <v>1</v>
      </c>
      <c r="F6" s="5" t="n">
        <f aca="false">SUM(B6:E6)</f>
        <v>38</v>
      </c>
    </row>
    <row r="7" customFormat="false" ht="15" hidden="false" customHeight="true" outlineLevel="0" collapsed="false">
      <c r="A7" s="5" t="s">
        <v>10</v>
      </c>
      <c r="B7" s="5" t="n">
        <f aca="false">COUNTIFS(Votações!$F$2:$F$427,$A7,Votações!$B$2:$B$427,"2023")</f>
        <v>0</v>
      </c>
      <c r="C7" s="5" t="n">
        <f aca="false">COUNTIFS(Votações!$F$2:$F$427,$A7,Votações!$B$2:$B$427,"2024")</f>
        <v>0</v>
      </c>
      <c r="D7" s="5" t="n">
        <f aca="false">COUNTIFS(Votações!$F$2:$F$427,$A7,Votações!$B$2:$B$427,"2025")</f>
        <v>1</v>
      </c>
      <c r="E7" s="5" t="n">
        <f aca="false">COUNTIFS(Votações!$F$2:$F$427,$A7,Votações!$B$2:$B$427,"2026")</f>
        <v>0</v>
      </c>
      <c r="F7" s="5" t="n">
        <f aca="false">SUM(B7:E7)</f>
        <v>1</v>
      </c>
    </row>
    <row r="8" customFormat="false" ht="15" hidden="false" customHeight="true" outlineLevel="0" collapsed="false">
      <c r="A8" s="5" t="s">
        <v>11</v>
      </c>
      <c r="B8" s="5" t="n">
        <f aca="false">COUNTIFS(Votações!$F$2:$F$427,$A8,Votações!$B$2:$B$427,"2023")</f>
        <v>67</v>
      </c>
      <c r="C8" s="5" t="n">
        <f aca="false">COUNTIFS(Votações!$F$2:$F$427,$A8,Votações!$B$2:$B$427,"2024")</f>
        <v>31</v>
      </c>
      <c r="D8" s="5" t="n">
        <f aca="false">COUNTIFS(Votações!$F$2:$F$427,$A8,Votações!$B$2:$B$427,"2025")</f>
        <v>60</v>
      </c>
      <c r="E8" s="5" t="n">
        <f aca="false">COUNTIFS(Votações!$F$2:$F$427,$A8,Votações!$B$2:$B$427,"2026")</f>
        <v>23</v>
      </c>
      <c r="F8" s="5" t="n">
        <f aca="false">SUM(B8:E8)</f>
        <v>181</v>
      </c>
    </row>
    <row r="9" customFormat="false" ht="15" hidden="false" customHeight="true" outlineLevel="0" collapsed="false">
      <c r="A9" s="5" t="s">
        <v>12</v>
      </c>
      <c r="B9" s="5" t="n">
        <f aca="false">COUNTIFS(Votações!$F$2:$F$427,$A9,Votações!$B$2:$B$427,"2023")</f>
        <v>26</v>
      </c>
      <c r="C9" s="5" t="n">
        <f aca="false">COUNTIFS(Votações!$F$2:$F$427,$A9,Votações!$B$2:$B$427,"2024")</f>
        <v>8</v>
      </c>
      <c r="D9" s="5" t="n">
        <f aca="false">COUNTIFS(Votações!$F$2:$F$427,$A9,Votações!$B$2:$B$427,"2025")</f>
        <v>17</v>
      </c>
      <c r="E9" s="5" t="n">
        <f aca="false">COUNTIFS(Votações!$F$2:$F$427,$A9,Votações!$B$2:$B$427,"2026")</f>
        <v>16</v>
      </c>
      <c r="F9" s="5" t="n">
        <f aca="false">SUM(B9:E9)</f>
        <v>67</v>
      </c>
    </row>
    <row r="10" customFormat="false" ht="15" hidden="false" customHeight="true" outlineLevel="0" collapsed="false">
      <c r="A10" s="5" t="s">
        <v>13</v>
      </c>
      <c r="B10" s="5" t="n">
        <f aca="false">COUNTIFS(Votações!$F$2:$F$427,$A10,Votações!$B$2:$B$427,"2023")</f>
        <v>0</v>
      </c>
      <c r="C10" s="5" t="n">
        <f aca="false">COUNTIFS(Votações!$F$2:$F$427,$A10,Votações!$B$2:$B$427,"2024")</f>
        <v>0</v>
      </c>
      <c r="D10" s="5" t="n">
        <f aca="false">COUNTIFS(Votações!$F$2:$F$427,$A10,Votações!$B$2:$B$427,"2025")</f>
        <v>2</v>
      </c>
      <c r="E10" s="5" t="n">
        <f aca="false">COUNTIFS(Votações!$F$2:$F$427,$A10,Votações!$B$2:$B$427,"2026")</f>
        <v>10</v>
      </c>
      <c r="F10" s="5" t="n">
        <f aca="false">SUM(B10:E10)</f>
        <v>12</v>
      </c>
    </row>
    <row r="11" customFormat="false" ht="15" hidden="false" customHeight="true" outlineLevel="0" collapsed="false">
      <c r="A11" s="5" t="s">
        <v>14</v>
      </c>
      <c r="B11" s="5" t="n">
        <f aca="false">COUNTIFS(Votações!$F$2:$F$427,$A11,Votações!$B$2:$B$427,"2023")</f>
        <v>0</v>
      </c>
      <c r="C11" s="5" t="n">
        <f aca="false">COUNTIFS(Votações!$F$2:$F$427,$A11,Votações!$B$2:$B$427,"2024")</f>
        <v>0</v>
      </c>
      <c r="D11" s="5" t="n">
        <f aca="false">COUNTIFS(Votações!$F$2:$F$427,$A11,Votações!$B$2:$B$427,"2025")</f>
        <v>8</v>
      </c>
      <c r="E11" s="5" t="n">
        <f aca="false">COUNTIFS(Votações!$F$2:$F$427,$A11,Votações!$B$2:$B$427,"2026")</f>
        <v>1</v>
      </c>
      <c r="F11" s="5" t="n">
        <f aca="false">SUM(B11:E11)</f>
        <v>9</v>
      </c>
    </row>
    <row r="12" customFormat="false" ht="15" hidden="false" customHeight="true" outlineLevel="0" collapsed="false">
      <c r="A12" s="5" t="s">
        <v>15</v>
      </c>
      <c r="B12" s="5" t="n">
        <f aca="false">COUNTIFS(Votações!$F$2:$F$427,$A12,Votações!$B$2:$B$427,"2023")</f>
        <v>4</v>
      </c>
      <c r="C12" s="5" t="n">
        <f aca="false">COUNTIFS(Votações!$F$2:$F$427,$A12,Votações!$B$2:$B$427,"2024")</f>
        <v>0</v>
      </c>
      <c r="D12" s="5" t="n">
        <f aca="false">COUNTIFS(Votações!$F$2:$F$427,$A12,Votações!$B$2:$B$427,"2025")</f>
        <v>2</v>
      </c>
      <c r="E12" s="5" t="n">
        <f aca="false">COUNTIFS(Votações!$F$2:$F$427,$A12,Votações!$B$2:$B$427,"2026")</f>
        <v>3</v>
      </c>
      <c r="F12" s="5" t="n">
        <f aca="false">SUM(B12:E12)</f>
        <v>9</v>
      </c>
    </row>
    <row r="13" customFormat="false" ht="15" hidden="false" customHeight="true" outlineLevel="0" collapsed="false">
      <c r="A13" s="6" t="s">
        <v>16</v>
      </c>
      <c r="B13" s="6" t="n">
        <f aca="false">SUM(B5:B12)</f>
        <v>141</v>
      </c>
      <c r="C13" s="6" t="n">
        <f aca="false">SUM(C5:C12)</f>
        <v>95</v>
      </c>
      <c r="D13" s="6" t="n">
        <f aca="false">SUM(D5:D12)</f>
        <v>128</v>
      </c>
      <c r="E13" s="6" t="n">
        <f aca="false">SUM(E5:E12)</f>
        <v>62</v>
      </c>
      <c r="F13" s="6" t="n">
        <f aca="false">SUM(F5:F12)</f>
        <v>426</v>
      </c>
    </row>
    <row r="14" customFormat="false" ht="15" hidden="false" customHeight="true" outlineLevel="0" collapsed="false">
      <c r="A14" s="6" t="s">
        <v>17</v>
      </c>
      <c r="B14" s="7" t="n">
        <f aca="false">IF(B13=0,0,SUM(B9:B12)/B13)</f>
        <v>0.212765957446809</v>
      </c>
      <c r="C14" s="7" t="n">
        <f aca="false">IF(C13=0,0,SUM(C9:C12)/C13)</f>
        <v>0.0842105263157895</v>
      </c>
      <c r="D14" s="7" t="n">
        <f aca="false">IF(D13=0,0,SUM(D9:D12)/D13)</f>
        <v>0.2265625</v>
      </c>
      <c r="E14" s="7" t="n">
        <f aca="false">IF(E13=0,0,SUM(E9:E12)/E13)</f>
        <v>0.483870967741936</v>
      </c>
      <c r="F14" s="7" t="n">
        <f aca="false">IF(F13=0,0,SUM(F9:F12)/F13)</f>
        <v>0.227699530516432</v>
      </c>
    </row>
    <row r="15" customFormat="false" ht="15" hidden="false" customHeight="true" outlineLevel="0" collapsed="false">
      <c r="A15" s="5"/>
      <c r="B15" s="5"/>
      <c r="C15" s="5"/>
      <c r="D15" s="5"/>
      <c r="E15" s="5"/>
      <c r="F15" s="5"/>
    </row>
    <row r="16" customFormat="false" ht="15" hidden="false" customHeight="true" outlineLevel="0" collapsed="false">
      <c r="A16" s="6" t="s">
        <v>18</v>
      </c>
    </row>
    <row r="17" customFormat="false" ht="15" hidden="false" customHeight="true" outlineLevel="0" collapsed="false">
      <c r="A17" s="5" t="s">
        <v>19</v>
      </c>
    </row>
    <row r="18" customFormat="false" ht="15" hidden="false" customHeight="true" outlineLevel="0" collapsed="false">
      <c r="A18" s="5" t="s">
        <v>20</v>
      </c>
    </row>
    <row r="19" customFormat="false" ht="15" hidden="false" customHeight="true" outlineLevel="0" collapsed="false">
      <c r="A19" s="5" t="s">
        <v>21</v>
      </c>
    </row>
    <row r="20" customFormat="false" ht="15" hidden="false" customHeight="true" outlineLevel="0" collapsed="false">
      <c r="A20" s="5" t="s">
        <v>22</v>
      </c>
    </row>
    <row r="21" customFormat="false" ht="15" hidden="false" customHeight="true" outlineLevel="0" collapsed="false">
      <c r="A21" s="5" t="s">
        <v>23</v>
      </c>
    </row>
    <row r="22" customFormat="false" ht="15" hidden="false" customHeight="true" outlineLevel="0" collapsed="false">
      <c r="A22" s="5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26"/>
    <col collapsed="false" customWidth="true" hidden="false" outlineLevel="0" max="4" min="4" style="1" width="24"/>
    <col collapsed="false" customWidth="true" hidden="false" outlineLevel="0" max="5" min="5" style="1" width="70"/>
    <col collapsed="false" customWidth="true" hidden="false" outlineLevel="0" max="6" min="6" style="1" width="28"/>
    <col collapsed="false" customWidth="true" hidden="false" outlineLevel="0" max="7" min="7" style="1" width="11"/>
    <col collapsed="false" customWidth="true" hidden="false" outlineLevel="0" max="8" min="8" style="1" width="12"/>
  </cols>
  <sheetData>
    <row r="1" customFormat="false" ht="34.5" hidden="false" customHeight="true" outlineLevel="0" collapsed="false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</row>
    <row r="2" customFormat="false" ht="15" hidden="false" customHeight="true" outlineLevel="0" collapsed="false">
      <c r="A2" s="9" t="n">
        <v>44965</v>
      </c>
      <c r="B2" s="10" t="s">
        <v>3</v>
      </c>
      <c r="C2" s="10" t="s">
        <v>33</v>
      </c>
      <c r="D2" s="10" t="s">
        <v>34</v>
      </c>
      <c r="E2" s="11" t="s">
        <v>35</v>
      </c>
      <c r="F2" s="10" t="s">
        <v>11</v>
      </c>
      <c r="G2" s="10" t="s">
        <v>36</v>
      </c>
      <c r="H2" s="10" t="n">
        <v>6674</v>
      </c>
    </row>
    <row r="3" customFormat="false" ht="15" hidden="false" customHeight="true" outlineLevel="0" collapsed="false">
      <c r="A3" s="9" t="n">
        <v>45013</v>
      </c>
      <c r="B3" s="10" t="s">
        <v>3</v>
      </c>
      <c r="C3" s="10" t="s">
        <v>37</v>
      </c>
      <c r="D3" s="10" t="s">
        <v>38</v>
      </c>
      <c r="E3" s="11" t="s">
        <v>39</v>
      </c>
      <c r="F3" s="10" t="s">
        <v>8</v>
      </c>
      <c r="G3" s="10" t="s">
        <v>36</v>
      </c>
      <c r="H3" s="10" t="n">
        <v>6675</v>
      </c>
    </row>
    <row r="4" customFormat="false" ht="15" hidden="false" customHeight="true" outlineLevel="0" collapsed="false">
      <c r="A4" s="9" t="n">
        <v>45035</v>
      </c>
      <c r="B4" s="10" t="s">
        <v>3</v>
      </c>
      <c r="C4" s="10" t="s">
        <v>40</v>
      </c>
      <c r="D4" s="10" t="s">
        <v>34</v>
      </c>
      <c r="E4" s="11" t="s">
        <v>41</v>
      </c>
      <c r="F4" s="10" t="s">
        <v>8</v>
      </c>
      <c r="G4" s="10" t="s">
        <v>36</v>
      </c>
      <c r="H4" s="10" t="n">
        <v>6676</v>
      </c>
    </row>
    <row r="5" customFormat="false" ht="15" hidden="false" customHeight="true" outlineLevel="0" collapsed="false">
      <c r="A5" s="9" t="n">
        <v>45055</v>
      </c>
      <c r="B5" s="10" t="s">
        <v>3</v>
      </c>
      <c r="C5" s="10" t="s">
        <v>42</v>
      </c>
      <c r="D5" s="10" t="s">
        <v>43</v>
      </c>
      <c r="E5" s="11" t="s">
        <v>44</v>
      </c>
      <c r="F5" s="10" t="s">
        <v>9</v>
      </c>
      <c r="G5" s="10" t="s">
        <v>36</v>
      </c>
      <c r="H5" s="10" t="n">
        <v>6677</v>
      </c>
    </row>
    <row r="6" customFormat="false" ht="15" hidden="false" customHeight="true" outlineLevel="0" collapsed="false">
      <c r="A6" s="9" t="n">
        <v>45055</v>
      </c>
      <c r="B6" s="10" t="s">
        <v>3</v>
      </c>
      <c r="C6" s="10" t="s">
        <v>45</v>
      </c>
      <c r="D6" s="10" t="s">
        <v>43</v>
      </c>
      <c r="E6" s="11" t="s">
        <v>46</v>
      </c>
      <c r="F6" s="10" t="s">
        <v>8</v>
      </c>
      <c r="G6" s="10" t="s">
        <v>36</v>
      </c>
      <c r="H6" s="10" t="n">
        <v>6678</v>
      </c>
    </row>
    <row r="7" customFormat="false" ht="15" hidden="false" customHeight="true" outlineLevel="0" collapsed="false">
      <c r="A7" s="9" t="n">
        <v>45056</v>
      </c>
      <c r="B7" s="10" t="s">
        <v>3</v>
      </c>
      <c r="C7" s="10" t="s">
        <v>47</v>
      </c>
      <c r="D7" s="10" t="s">
        <v>38</v>
      </c>
      <c r="E7" s="11" t="s">
        <v>48</v>
      </c>
      <c r="F7" s="10" t="s">
        <v>8</v>
      </c>
      <c r="G7" s="10" t="s">
        <v>36</v>
      </c>
      <c r="H7" s="10" t="n">
        <v>6679</v>
      </c>
    </row>
    <row r="8" customFormat="false" ht="15" hidden="false" customHeight="true" outlineLevel="0" collapsed="false">
      <c r="A8" s="9" t="n">
        <v>45062</v>
      </c>
      <c r="B8" s="10" t="s">
        <v>3</v>
      </c>
      <c r="C8" s="10" t="s">
        <v>49</v>
      </c>
      <c r="D8" s="10" t="s">
        <v>50</v>
      </c>
      <c r="E8" s="11" t="s">
        <v>51</v>
      </c>
      <c r="F8" s="10" t="s">
        <v>8</v>
      </c>
      <c r="G8" s="10" t="s">
        <v>36</v>
      </c>
      <c r="H8" s="10" t="n">
        <v>6680</v>
      </c>
    </row>
    <row r="9" customFormat="false" ht="15" hidden="false" customHeight="true" outlineLevel="0" collapsed="false">
      <c r="A9" s="9" t="n">
        <v>45062</v>
      </c>
      <c r="B9" s="10" t="s">
        <v>3</v>
      </c>
      <c r="C9" s="10" t="s">
        <v>49</v>
      </c>
      <c r="D9" s="10" t="s">
        <v>50</v>
      </c>
      <c r="E9" s="11" t="s">
        <v>52</v>
      </c>
      <c r="F9" s="10" t="s">
        <v>8</v>
      </c>
      <c r="G9" s="10" t="s">
        <v>36</v>
      </c>
      <c r="H9" s="10" t="n">
        <v>6681</v>
      </c>
    </row>
    <row r="10" customFormat="false" ht="15" hidden="false" customHeight="true" outlineLevel="0" collapsed="false">
      <c r="A10" s="9" t="n">
        <v>45063</v>
      </c>
      <c r="B10" s="10" t="s">
        <v>3</v>
      </c>
      <c r="C10" s="10" t="s">
        <v>53</v>
      </c>
      <c r="D10" s="10" t="s">
        <v>54</v>
      </c>
      <c r="E10" s="11" t="s">
        <v>55</v>
      </c>
      <c r="F10" s="10" t="s">
        <v>11</v>
      </c>
      <c r="G10" s="10" t="s">
        <v>36</v>
      </c>
      <c r="H10" s="10" t="n">
        <v>6682</v>
      </c>
    </row>
    <row r="11" customFormat="false" ht="15" hidden="false" customHeight="true" outlineLevel="0" collapsed="false">
      <c r="A11" s="9" t="n">
        <v>45063</v>
      </c>
      <c r="B11" s="10" t="s">
        <v>3</v>
      </c>
      <c r="C11" s="10" t="s">
        <v>56</v>
      </c>
      <c r="D11" s="10" t="s">
        <v>54</v>
      </c>
      <c r="E11" s="11" t="s">
        <v>57</v>
      </c>
      <c r="F11" s="10" t="s">
        <v>11</v>
      </c>
      <c r="G11" s="10" t="s">
        <v>36</v>
      </c>
      <c r="H11" s="10" t="n">
        <v>6683</v>
      </c>
    </row>
    <row r="12" customFormat="false" ht="15" hidden="false" customHeight="true" outlineLevel="0" collapsed="false">
      <c r="A12" s="9" t="n">
        <v>45063</v>
      </c>
      <c r="B12" s="10" t="s">
        <v>3</v>
      </c>
      <c r="C12" s="10" t="s">
        <v>58</v>
      </c>
      <c r="D12" s="10" t="s">
        <v>54</v>
      </c>
      <c r="E12" s="11" t="s">
        <v>59</v>
      </c>
      <c r="F12" s="10" t="s">
        <v>12</v>
      </c>
      <c r="G12" s="10" t="s">
        <v>36</v>
      </c>
      <c r="H12" s="10" t="n">
        <v>6684</v>
      </c>
    </row>
    <row r="13" customFormat="false" ht="15" hidden="false" customHeight="true" outlineLevel="0" collapsed="false">
      <c r="A13" s="9" t="n">
        <v>45063</v>
      </c>
      <c r="B13" s="10" t="s">
        <v>3</v>
      </c>
      <c r="C13" s="10" t="s">
        <v>60</v>
      </c>
      <c r="D13" s="10" t="s">
        <v>54</v>
      </c>
      <c r="E13" s="11" t="s">
        <v>61</v>
      </c>
      <c r="F13" s="10" t="s">
        <v>12</v>
      </c>
      <c r="G13" s="10" t="s">
        <v>36</v>
      </c>
      <c r="H13" s="10" t="n">
        <v>6685</v>
      </c>
    </row>
    <row r="14" customFormat="false" ht="15" hidden="false" customHeight="true" outlineLevel="0" collapsed="false">
      <c r="A14" s="9" t="n">
        <v>45063</v>
      </c>
      <c r="B14" s="10" t="s">
        <v>3</v>
      </c>
      <c r="C14" s="10" t="s">
        <v>62</v>
      </c>
      <c r="D14" s="10" t="s">
        <v>54</v>
      </c>
      <c r="E14" s="11" t="s">
        <v>63</v>
      </c>
      <c r="F14" s="10" t="s">
        <v>12</v>
      </c>
      <c r="G14" s="10" t="s">
        <v>36</v>
      </c>
      <c r="H14" s="10" t="n">
        <v>6686</v>
      </c>
    </row>
    <row r="15" customFormat="false" ht="15" hidden="false" customHeight="true" outlineLevel="0" collapsed="false">
      <c r="A15" s="9" t="n">
        <v>45063</v>
      </c>
      <c r="B15" s="10" t="s">
        <v>3</v>
      </c>
      <c r="C15" s="10" t="s">
        <v>64</v>
      </c>
      <c r="D15" s="10" t="s">
        <v>54</v>
      </c>
      <c r="E15" s="11" t="s">
        <v>65</v>
      </c>
      <c r="F15" s="10" t="s">
        <v>11</v>
      </c>
      <c r="G15" s="10" t="s">
        <v>36</v>
      </c>
      <c r="H15" s="10" t="n">
        <v>6687</v>
      </c>
    </row>
    <row r="16" customFormat="false" ht="15" hidden="false" customHeight="true" outlineLevel="0" collapsed="false">
      <c r="A16" s="9" t="n">
        <v>45063</v>
      </c>
      <c r="B16" s="10" t="s">
        <v>3</v>
      </c>
      <c r="C16" s="10" t="s">
        <v>66</v>
      </c>
      <c r="D16" s="10" t="s">
        <v>54</v>
      </c>
      <c r="E16" s="11" t="s">
        <v>67</v>
      </c>
      <c r="F16" s="10" t="s">
        <v>11</v>
      </c>
      <c r="G16" s="10" t="s">
        <v>36</v>
      </c>
      <c r="H16" s="10" t="n">
        <v>6688</v>
      </c>
    </row>
    <row r="17" customFormat="false" ht="15" hidden="false" customHeight="true" outlineLevel="0" collapsed="false">
      <c r="A17" s="9" t="n">
        <v>45063</v>
      </c>
      <c r="B17" s="10" t="s">
        <v>3</v>
      </c>
      <c r="C17" s="10" t="s">
        <v>68</v>
      </c>
      <c r="D17" s="10" t="s">
        <v>54</v>
      </c>
      <c r="E17" s="11" t="s">
        <v>69</v>
      </c>
      <c r="F17" s="10" t="s">
        <v>11</v>
      </c>
      <c r="G17" s="10" t="s">
        <v>36</v>
      </c>
      <c r="H17" s="10" t="n">
        <v>6689</v>
      </c>
    </row>
    <row r="18" customFormat="false" ht="15" hidden="false" customHeight="true" outlineLevel="0" collapsed="false">
      <c r="A18" s="9" t="n">
        <v>45063</v>
      </c>
      <c r="B18" s="10" t="s">
        <v>3</v>
      </c>
      <c r="C18" s="10" t="s">
        <v>70</v>
      </c>
      <c r="D18" s="10" t="s">
        <v>54</v>
      </c>
      <c r="E18" s="11" t="s">
        <v>71</v>
      </c>
      <c r="F18" s="10" t="s">
        <v>11</v>
      </c>
      <c r="G18" s="10" t="s">
        <v>36</v>
      </c>
      <c r="H18" s="10" t="n">
        <v>6690</v>
      </c>
    </row>
    <row r="19" customFormat="false" ht="15" hidden="false" customHeight="true" outlineLevel="0" collapsed="false">
      <c r="A19" s="9" t="n">
        <v>45069</v>
      </c>
      <c r="B19" s="10" t="s">
        <v>3</v>
      </c>
      <c r="C19" s="10" t="s">
        <v>72</v>
      </c>
      <c r="D19" s="10" t="s">
        <v>54</v>
      </c>
      <c r="E19" s="11" t="s">
        <v>73</v>
      </c>
      <c r="F19" s="10" t="s">
        <v>12</v>
      </c>
      <c r="G19" s="10" t="s">
        <v>36</v>
      </c>
      <c r="H19" s="10" t="n">
        <v>6691</v>
      </c>
    </row>
    <row r="20" customFormat="false" ht="15" hidden="false" customHeight="true" outlineLevel="0" collapsed="false">
      <c r="A20" s="9" t="n">
        <v>45069</v>
      </c>
      <c r="B20" s="10" t="s">
        <v>3</v>
      </c>
      <c r="C20" s="10" t="s">
        <v>74</v>
      </c>
      <c r="D20" s="10" t="s">
        <v>54</v>
      </c>
      <c r="E20" s="11" t="s">
        <v>75</v>
      </c>
      <c r="F20" s="10" t="s">
        <v>11</v>
      </c>
      <c r="G20" s="10" t="s">
        <v>36</v>
      </c>
      <c r="H20" s="10" t="n">
        <v>6692</v>
      </c>
    </row>
    <row r="21" customFormat="false" ht="15" hidden="false" customHeight="true" outlineLevel="0" collapsed="false">
      <c r="A21" s="9" t="n">
        <v>45069</v>
      </c>
      <c r="B21" s="10" t="s">
        <v>3</v>
      </c>
      <c r="C21" s="10" t="s">
        <v>76</v>
      </c>
      <c r="D21" s="10" t="s">
        <v>54</v>
      </c>
      <c r="E21" s="11" t="s">
        <v>77</v>
      </c>
      <c r="F21" s="10" t="s">
        <v>11</v>
      </c>
      <c r="G21" s="10" t="s">
        <v>36</v>
      </c>
      <c r="H21" s="10" t="n">
        <v>6693</v>
      </c>
    </row>
    <row r="22" customFormat="false" ht="15" hidden="false" customHeight="true" outlineLevel="0" collapsed="false">
      <c r="A22" s="9" t="n">
        <v>45070</v>
      </c>
      <c r="B22" s="10" t="s">
        <v>3</v>
      </c>
      <c r="C22" s="10" t="s">
        <v>78</v>
      </c>
      <c r="D22" s="10" t="s">
        <v>54</v>
      </c>
      <c r="E22" s="11" t="s">
        <v>79</v>
      </c>
      <c r="F22" s="10" t="s">
        <v>12</v>
      </c>
      <c r="G22" s="10" t="s">
        <v>36</v>
      </c>
      <c r="H22" s="10" t="n">
        <v>6694</v>
      </c>
    </row>
    <row r="23" customFormat="false" ht="15" hidden="false" customHeight="true" outlineLevel="0" collapsed="false">
      <c r="A23" s="9" t="n">
        <v>45070</v>
      </c>
      <c r="B23" s="10" t="s">
        <v>3</v>
      </c>
      <c r="C23" s="10" t="s">
        <v>80</v>
      </c>
      <c r="D23" s="10" t="s">
        <v>54</v>
      </c>
      <c r="E23" s="11" t="s">
        <v>81</v>
      </c>
      <c r="F23" s="10" t="s">
        <v>12</v>
      </c>
      <c r="G23" s="10" t="s">
        <v>36</v>
      </c>
      <c r="H23" s="10" t="n">
        <v>6695</v>
      </c>
    </row>
    <row r="24" customFormat="false" ht="15" hidden="false" customHeight="true" outlineLevel="0" collapsed="false">
      <c r="A24" s="9" t="n">
        <v>45070</v>
      </c>
      <c r="B24" s="10" t="s">
        <v>3</v>
      </c>
      <c r="C24" s="10" t="s">
        <v>82</v>
      </c>
      <c r="D24" s="10" t="s">
        <v>54</v>
      </c>
      <c r="E24" s="11" t="s">
        <v>83</v>
      </c>
      <c r="F24" s="10" t="s">
        <v>12</v>
      </c>
      <c r="G24" s="10" t="s">
        <v>36</v>
      </c>
      <c r="H24" s="10" t="n">
        <v>6696</v>
      </c>
    </row>
    <row r="25" customFormat="false" ht="15" hidden="false" customHeight="true" outlineLevel="0" collapsed="false">
      <c r="A25" s="9" t="n">
        <v>45070</v>
      </c>
      <c r="B25" s="10" t="s">
        <v>3</v>
      </c>
      <c r="C25" s="10" t="s">
        <v>84</v>
      </c>
      <c r="D25" s="10" t="s">
        <v>54</v>
      </c>
      <c r="E25" s="11" t="s">
        <v>85</v>
      </c>
      <c r="F25" s="10" t="s">
        <v>12</v>
      </c>
      <c r="G25" s="10" t="s">
        <v>36</v>
      </c>
      <c r="H25" s="10" t="n">
        <v>6697</v>
      </c>
    </row>
    <row r="26" customFormat="false" ht="15" hidden="false" customHeight="true" outlineLevel="0" collapsed="false">
      <c r="A26" s="9" t="n">
        <v>45070</v>
      </c>
      <c r="B26" s="10" t="s">
        <v>3</v>
      </c>
      <c r="C26" s="10" t="s">
        <v>86</v>
      </c>
      <c r="D26" s="10" t="s">
        <v>54</v>
      </c>
      <c r="E26" s="11" t="s">
        <v>87</v>
      </c>
      <c r="F26" s="10" t="s">
        <v>11</v>
      </c>
      <c r="G26" s="10" t="s">
        <v>36</v>
      </c>
      <c r="H26" s="10" t="n">
        <v>6698</v>
      </c>
    </row>
    <row r="27" customFormat="false" ht="15" hidden="false" customHeight="true" outlineLevel="0" collapsed="false">
      <c r="A27" s="9" t="n">
        <v>45077</v>
      </c>
      <c r="B27" s="10" t="s">
        <v>3</v>
      </c>
      <c r="C27" s="10" t="s">
        <v>88</v>
      </c>
      <c r="D27" s="10" t="s">
        <v>54</v>
      </c>
      <c r="E27" s="11" t="s">
        <v>89</v>
      </c>
      <c r="F27" s="10" t="s">
        <v>11</v>
      </c>
      <c r="G27" s="10" t="s">
        <v>36</v>
      </c>
      <c r="H27" s="10" t="n">
        <v>6699</v>
      </c>
    </row>
    <row r="28" customFormat="false" ht="15" hidden="false" customHeight="true" outlineLevel="0" collapsed="false">
      <c r="A28" s="9" t="n">
        <v>45077</v>
      </c>
      <c r="B28" s="10" t="s">
        <v>3</v>
      </c>
      <c r="C28" s="10" t="s">
        <v>90</v>
      </c>
      <c r="D28" s="10" t="s">
        <v>54</v>
      </c>
      <c r="E28" s="11" t="s">
        <v>91</v>
      </c>
      <c r="F28" s="10" t="s">
        <v>12</v>
      </c>
      <c r="G28" s="10" t="s">
        <v>36</v>
      </c>
      <c r="H28" s="10" t="n">
        <v>6700</v>
      </c>
    </row>
    <row r="29" customFormat="false" ht="15" hidden="false" customHeight="true" outlineLevel="0" collapsed="false">
      <c r="A29" s="9" t="n">
        <v>45077</v>
      </c>
      <c r="B29" s="10" t="s">
        <v>3</v>
      </c>
      <c r="C29" s="10" t="s">
        <v>92</v>
      </c>
      <c r="D29" s="10" t="s">
        <v>54</v>
      </c>
      <c r="E29" s="11" t="s">
        <v>93</v>
      </c>
      <c r="F29" s="10" t="s">
        <v>12</v>
      </c>
      <c r="G29" s="10" t="s">
        <v>36</v>
      </c>
      <c r="H29" s="10" t="n">
        <v>6701</v>
      </c>
    </row>
    <row r="30" customFormat="false" ht="15" hidden="false" customHeight="true" outlineLevel="0" collapsed="false">
      <c r="A30" s="9" t="n">
        <v>45077</v>
      </c>
      <c r="B30" s="10" t="s">
        <v>3</v>
      </c>
      <c r="C30" s="10" t="s">
        <v>94</v>
      </c>
      <c r="D30" s="10" t="s">
        <v>54</v>
      </c>
      <c r="E30" s="11" t="s">
        <v>95</v>
      </c>
      <c r="F30" s="10" t="s">
        <v>12</v>
      </c>
      <c r="G30" s="10" t="s">
        <v>36</v>
      </c>
      <c r="H30" s="10" t="n">
        <v>6702</v>
      </c>
    </row>
    <row r="31" customFormat="false" ht="15" hidden="false" customHeight="true" outlineLevel="0" collapsed="false">
      <c r="A31" s="9" t="n">
        <v>45077</v>
      </c>
      <c r="B31" s="10" t="s">
        <v>3</v>
      </c>
      <c r="C31" s="10" t="s">
        <v>96</v>
      </c>
      <c r="D31" s="10" t="s">
        <v>97</v>
      </c>
      <c r="E31" s="11" t="s">
        <v>98</v>
      </c>
      <c r="F31" s="10" t="s">
        <v>9</v>
      </c>
      <c r="G31" s="10" t="s">
        <v>36</v>
      </c>
      <c r="H31" s="10" t="n">
        <v>6704</v>
      </c>
    </row>
    <row r="32" customFormat="false" ht="15" hidden="false" customHeight="true" outlineLevel="0" collapsed="false">
      <c r="A32" s="9" t="n">
        <v>45083</v>
      </c>
      <c r="B32" s="10" t="s">
        <v>3</v>
      </c>
      <c r="C32" s="10" t="s">
        <v>99</v>
      </c>
      <c r="D32" s="10" t="s">
        <v>50</v>
      </c>
      <c r="E32" s="11" t="s">
        <v>100</v>
      </c>
      <c r="F32" s="10" t="s">
        <v>8</v>
      </c>
      <c r="G32" s="10" t="s">
        <v>36</v>
      </c>
      <c r="H32" s="10" t="n">
        <v>6705</v>
      </c>
    </row>
    <row r="33" customFormat="false" ht="15" hidden="false" customHeight="true" outlineLevel="0" collapsed="false">
      <c r="A33" s="9" t="n">
        <v>45083</v>
      </c>
      <c r="B33" s="10" t="s">
        <v>3</v>
      </c>
      <c r="C33" s="10" t="s">
        <v>99</v>
      </c>
      <c r="D33" s="10" t="s">
        <v>50</v>
      </c>
      <c r="E33" s="11" t="s">
        <v>101</v>
      </c>
      <c r="F33" s="10" t="s">
        <v>8</v>
      </c>
      <c r="G33" s="10" t="s">
        <v>36</v>
      </c>
      <c r="H33" s="10" t="n">
        <v>6706</v>
      </c>
    </row>
    <row r="34" customFormat="false" ht="15" hidden="false" customHeight="true" outlineLevel="0" collapsed="false">
      <c r="A34" s="9" t="n">
        <v>45091</v>
      </c>
      <c r="B34" s="10" t="s">
        <v>3</v>
      </c>
      <c r="C34" s="10" t="s">
        <v>102</v>
      </c>
      <c r="D34" s="10" t="s">
        <v>54</v>
      </c>
      <c r="E34" s="11" t="s">
        <v>103</v>
      </c>
      <c r="F34" s="10" t="s">
        <v>11</v>
      </c>
      <c r="G34" s="10" t="s">
        <v>36</v>
      </c>
      <c r="H34" s="10" t="n">
        <v>6707</v>
      </c>
    </row>
    <row r="35" customFormat="false" ht="15" hidden="false" customHeight="true" outlineLevel="0" collapsed="false">
      <c r="A35" s="9" t="n">
        <v>45091</v>
      </c>
      <c r="B35" s="10" t="s">
        <v>3</v>
      </c>
      <c r="C35" s="10" t="s">
        <v>104</v>
      </c>
      <c r="D35" s="10" t="s">
        <v>38</v>
      </c>
      <c r="E35" s="11" t="s">
        <v>105</v>
      </c>
      <c r="F35" s="10" t="s">
        <v>12</v>
      </c>
      <c r="G35" s="10" t="s">
        <v>36</v>
      </c>
      <c r="H35" s="10" t="n">
        <v>6708</v>
      </c>
    </row>
    <row r="36" customFormat="false" ht="15" hidden="false" customHeight="true" outlineLevel="0" collapsed="false">
      <c r="A36" s="9" t="n">
        <v>45097</v>
      </c>
      <c r="B36" s="10" t="s">
        <v>3</v>
      </c>
      <c r="C36" s="10" t="s">
        <v>106</v>
      </c>
      <c r="D36" s="10" t="s">
        <v>97</v>
      </c>
      <c r="E36" s="11" t="s">
        <v>107</v>
      </c>
      <c r="F36" s="10" t="s">
        <v>8</v>
      </c>
      <c r="G36" s="10" t="s">
        <v>108</v>
      </c>
      <c r="H36" s="10" t="n">
        <v>6709</v>
      </c>
    </row>
    <row r="37" customFormat="false" ht="15" hidden="false" customHeight="true" outlineLevel="0" collapsed="false">
      <c r="A37" s="9" t="n">
        <v>45098</v>
      </c>
      <c r="B37" s="10" t="s">
        <v>3</v>
      </c>
      <c r="C37" s="10" t="s">
        <v>109</v>
      </c>
      <c r="D37" s="10" t="s">
        <v>54</v>
      </c>
      <c r="E37" s="11" t="s">
        <v>110</v>
      </c>
      <c r="F37" s="10" t="s">
        <v>12</v>
      </c>
      <c r="G37" s="10" t="s">
        <v>36</v>
      </c>
      <c r="H37" s="10" t="n">
        <v>6710</v>
      </c>
    </row>
    <row r="38" customFormat="false" ht="15" hidden="false" customHeight="true" outlineLevel="0" collapsed="false">
      <c r="A38" s="9" t="n">
        <v>45098</v>
      </c>
      <c r="B38" s="10" t="s">
        <v>3</v>
      </c>
      <c r="C38" s="10" t="s">
        <v>111</v>
      </c>
      <c r="D38" s="10" t="s">
        <v>54</v>
      </c>
      <c r="E38" s="11" t="s">
        <v>112</v>
      </c>
      <c r="F38" s="10" t="s">
        <v>11</v>
      </c>
      <c r="G38" s="10" t="s">
        <v>36</v>
      </c>
      <c r="H38" s="10" t="n">
        <v>6711</v>
      </c>
    </row>
    <row r="39" customFormat="false" ht="15" hidden="false" customHeight="true" outlineLevel="0" collapsed="false">
      <c r="A39" s="9" t="n">
        <v>45098</v>
      </c>
      <c r="B39" s="10" t="s">
        <v>3</v>
      </c>
      <c r="C39" s="10" t="s">
        <v>113</v>
      </c>
      <c r="D39" s="10" t="s">
        <v>54</v>
      </c>
      <c r="E39" s="11" t="s">
        <v>114</v>
      </c>
      <c r="F39" s="10" t="s">
        <v>11</v>
      </c>
      <c r="G39" s="10" t="s">
        <v>36</v>
      </c>
      <c r="H39" s="10" t="n">
        <v>6712</v>
      </c>
    </row>
    <row r="40" customFormat="false" ht="15" hidden="false" customHeight="true" outlineLevel="0" collapsed="false">
      <c r="A40" s="9" t="n">
        <v>45098</v>
      </c>
      <c r="B40" s="10" t="s">
        <v>3</v>
      </c>
      <c r="C40" s="10" t="s">
        <v>115</v>
      </c>
      <c r="D40" s="10" t="s">
        <v>54</v>
      </c>
      <c r="E40" s="11" t="s">
        <v>116</v>
      </c>
      <c r="F40" s="10" t="s">
        <v>11</v>
      </c>
      <c r="G40" s="10" t="s">
        <v>36</v>
      </c>
      <c r="H40" s="10" t="n">
        <v>6713</v>
      </c>
    </row>
    <row r="41" customFormat="false" ht="15" hidden="false" customHeight="true" outlineLevel="0" collapsed="false">
      <c r="A41" s="9" t="n">
        <v>45098</v>
      </c>
      <c r="B41" s="10" t="s">
        <v>3</v>
      </c>
      <c r="C41" s="10" t="s">
        <v>117</v>
      </c>
      <c r="D41" s="10" t="s">
        <v>38</v>
      </c>
      <c r="E41" s="11" t="s">
        <v>118</v>
      </c>
      <c r="F41" s="10" t="s">
        <v>9</v>
      </c>
      <c r="G41" s="10" t="s">
        <v>36</v>
      </c>
      <c r="H41" s="10" t="n">
        <v>6714</v>
      </c>
    </row>
    <row r="42" customFormat="false" ht="15" hidden="false" customHeight="true" outlineLevel="0" collapsed="false">
      <c r="A42" s="9" t="n">
        <v>45098</v>
      </c>
      <c r="B42" s="10" t="s">
        <v>3</v>
      </c>
      <c r="C42" s="10" t="s">
        <v>117</v>
      </c>
      <c r="D42" s="10" t="s">
        <v>38</v>
      </c>
      <c r="E42" s="11" t="s">
        <v>119</v>
      </c>
      <c r="F42" s="10" t="s">
        <v>8</v>
      </c>
      <c r="G42" s="10" t="s">
        <v>108</v>
      </c>
      <c r="H42" s="10" t="n">
        <v>6715</v>
      </c>
    </row>
    <row r="43" customFormat="false" ht="15" hidden="false" customHeight="true" outlineLevel="0" collapsed="false">
      <c r="A43" s="9" t="n">
        <v>45098</v>
      </c>
      <c r="B43" s="10" t="s">
        <v>3</v>
      </c>
      <c r="C43" s="10" t="s">
        <v>117</v>
      </c>
      <c r="D43" s="10" t="s">
        <v>38</v>
      </c>
      <c r="E43" s="11" t="s">
        <v>120</v>
      </c>
      <c r="F43" s="10" t="s">
        <v>8</v>
      </c>
      <c r="G43" s="10" t="s">
        <v>108</v>
      </c>
      <c r="H43" s="10" t="n">
        <v>6716</v>
      </c>
    </row>
    <row r="44" customFormat="false" ht="15" hidden="false" customHeight="true" outlineLevel="0" collapsed="false">
      <c r="A44" s="9" t="n">
        <v>45098</v>
      </c>
      <c r="B44" s="10" t="s">
        <v>3</v>
      </c>
      <c r="C44" s="10" t="s">
        <v>117</v>
      </c>
      <c r="D44" s="10" t="s">
        <v>38</v>
      </c>
      <c r="E44" s="11" t="s">
        <v>121</v>
      </c>
      <c r="F44" s="10" t="s">
        <v>9</v>
      </c>
      <c r="G44" s="10" t="s">
        <v>108</v>
      </c>
      <c r="H44" s="10" t="n">
        <v>6717</v>
      </c>
    </row>
    <row r="45" customFormat="false" ht="15" hidden="false" customHeight="true" outlineLevel="0" collapsed="false">
      <c r="A45" s="9" t="n">
        <v>45111</v>
      </c>
      <c r="B45" s="10" t="s">
        <v>3</v>
      </c>
      <c r="C45" s="10" t="s">
        <v>122</v>
      </c>
      <c r="D45" s="10" t="s">
        <v>54</v>
      </c>
      <c r="E45" s="11" t="s">
        <v>123</v>
      </c>
      <c r="F45" s="10" t="s">
        <v>12</v>
      </c>
      <c r="G45" s="10" t="s">
        <v>36</v>
      </c>
      <c r="H45" s="10" t="n">
        <v>6718</v>
      </c>
    </row>
    <row r="46" customFormat="false" ht="15" hidden="false" customHeight="true" outlineLevel="0" collapsed="false">
      <c r="A46" s="9" t="n">
        <v>45111</v>
      </c>
      <c r="B46" s="10" t="s">
        <v>3</v>
      </c>
      <c r="C46" s="10" t="s">
        <v>124</v>
      </c>
      <c r="D46" s="10" t="s">
        <v>54</v>
      </c>
      <c r="E46" s="11" t="s">
        <v>125</v>
      </c>
      <c r="F46" s="10" t="s">
        <v>11</v>
      </c>
      <c r="G46" s="10" t="s">
        <v>36</v>
      </c>
      <c r="H46" s="10" t="n">
        <v>6719</v>
      </c>
    </row>
    <row r="47" customFormat="false" ht="15" hidden="false" customHeight="true" outlineLevel="0" collapsed="false">
      <c r="A47" s="9" t="n">
        <v>45111</v>
      </c>
      <c r="B47" s="10" t="s">
        <v>3</v>
      </c>
      <c r="C47" s="10" t="s">
        <v>126</v>
      </c>
      <c r="D47" s="10" t="s">
        <v>54</v>
      </c>
      <c r="E47" s="11" t="s">
        <v>127</v>
      </c>
      <c r="F47" s="10" t="s">
        <v>11</v>
      </c>
      <c r="G47" s="10" t="s">
        <v>36</v>
      </c>
      <c r="H47" s="10" t="n">
        <v>6720</v>
      </c>
    </row>
    <row r="48" customFormat="false" ht="15" hidden="false" customHeight="true" outlineLevel="0" collapsed="false">
      <c r="A48" s="9" t="n">
        <v>45111</v>
      </c>
      <c r="B48" s="10" t="s">
        <v>3</v>
      </c>
      <c r="C48" s="10" t="s">
        <v>128</v>
      </c>
      <c r="D48" s="10" t="s">
        <v>54</v>
      </c>
      <c r="E48" s="11" t="s">
        <v>129</v>
      </c>
      <c r="F48" s="10" t="s">
        <v>11</v>
      </c>
      <c r="G48" s="10" t="s">
        <v>36</v>
      </c>
      <c r="H48" s="10" t="n">
        <v>6721</v>
      </c>
    </row>
    <row r="49" customFormat="false" ht="15" hidden="false" customHeight="true" outlineLevel="0" collapsed="false">
      <c r="A49" s="9" t="n">
        <v>45111</v>
      </c>
      <c r="B49" s="10" t="s">
        <v>3</v>
      </c>
      <c r="C49" s="10" t="s">
        <v>130</v>
      </c>
      <c r="D49" s="10" t="s">
        <v>54</v>
      </c>
      <c r="E49" s="11" t="s">
        <v>131</v>
      </c>
      <c r="F49" s="10" t="s">
        <v>11</v>
      </c>
      <c r="G49" s="10" t="s">
        <v>36</v>
      </c>
      <c r="H49" s="10" t="n">
        <v>6722</v>
      </c>
    </row>
    <row r="50" customFormat="false" ht="15" hidden="false" customHeight="true" outlineLevel="0" collapsed="false">
      <c r="A50" s="9" t="n">
        <v>45111</v>
      </c>
      <c r="B50" s="10" t="s">
        <v>3</v>
      </c>
      <c r="C50" s="10" t="s">
        <v>132</v>
      </c>
      <c r="D50" s="10" t="s">
        <v>54</v>
      </c>
      <c r="E50" s="11" t="s">
        <v>133</v>
      </c>
      <c r="F50" s="10" t="s">
        <v>11</v>
      </c>
      <c r="G50" s="10" t="s">
        <v>36</v>
      </c>
      <c r="H50" s="10" t="n">
        <v>6723</v>
      </c>
    </row>
    <row r="51" customFormat="false" ht="15" hidden="false" customHeight="true" outlineLevel="0" collapsed="false">
      <c r="A51" s="9" t="n">
        <v>45111</v>
      </c>
      <c r="B51" s="10" t="s">
        <v>3</v>
      </c>
      <c r="C51" s="10" t="s">
        <v>134</v>
      </c>
      <c r="D51" s="10" t="s">
        <v>54</v>
      </c>
      <c r="E51" s="11" t="s">
        <v>135</v>
      </c>
      <c r="F51" s="10" t="s">
        <v>11</v>
      </c>
      <c r="G51" s="10" t="s">
        <v>36</v>
      </c>
      <c r="H51" s="10" t="n">
        <v>6724</v>
      </c>
    </row>
    <row r="52" customFormat="false" ht="15" hidden="false" customHeight="true" outlineLevel="0" collapsed="false">
      <c r="A52" s="9" t="n">
        <v>45111</v>
      </c>
      <c r="B52" s="10" t="s">
        <v>3</v>
      </c>
      <c r="C52" s="10" t="s">
        <v>136</v>
      </c>
      <c r="D52" s="10" t="s">
        <v>54</v>
      </c>
      <c r="E52" s="11" t="s">
        <v>137</v>
      </c>
      <c r="F52" s="10" t="s">
        <v>11</v>
      </c>
      <c r="G52" s="10" t="s">
        <v>36</v>
      </c>
      <c r="H52" s="10" t="n">
        <v>6725</v>
      </c>
    </row>
    <row r="53" customFormat="false" ht="15" hidden="false" customHeight="true" outlineLevel="0" collapsed="false">
      <c r="A53" s="9" t="n">
        <v>45112</v>
      </c>
      <c r="B53" s="10" t="s">
        <v>3</v>
      </c>
      <c r="C53" s="10" t="s">
        <v>138</v>
      </c>
      <c r="D53" s="10" t="s">
        <v>54</v>
      </c>
      <c r="E53" s="11" t="s">
        <v>139</v>
      </c>
      <c r="F53" s="10" t="s">
        <v>11</v>
      </c>
      <c r="G53" s="10" t="s">
        <v>36</v>
      </c>
      <c r="H53" s="10" t="n">
        <v>6726</v>
      </c>
    </row>
    <row r="54" customFormat="false" ht="15" hidden="false" customHeight="true" outlineLevel="0" collapsed="false">
      <c r="A54" s="9" t="n">
        <v>45112</v>
      </c>
      <c r="B54" s="10" t="s">
        <v>3</v>
      </c>
      <c r="C54" s="10" t="s">
        <v>140</v>
      </c>
      <c r="D54" s="10" t="s">
        <v>54</v>
      </c>
      <c r="E54" s="11" t="s">
        <v>141</v>
      </c>
      <c r="F54" s="10" t="s">
        <v>11</v>
      </c>
      <c r="G54" s="10" t="s">
        <v>36</v>
      </c>
      <c r="H54" s="10" t="n">
        <v>6727</v>
      </c>
    </row>
    <row r="55" customFormat="false" ht="15" hidden="false" customHeight="true" outlineLevel="0" collapsed="false">
      <c r="A55" s="9" t="n">
        <v>45112</v>
      </c>
      <c r="B55" s="10" t="s">
        <v>3</v>
      </c>
      <c r="C55" s="10" t="s">
        <v>142</v>
      </c>
      <c r="D55" s="10" t="s">
        <v>54</v>
      </c>
      <c r="E55" s="11" t="s">
        <v>143</v>
      </c>
      <c r="F55" s="10" t="s">
        <v>11</v>
      </c>
      <c r="G55" s="10" t="s">
        <v>36</v>
      </c>
      <c r="H55" s="10" t="n">
        <v>6728</v>
      </c>
    </row>
    <row r="56" customFormat="false" ht="15" hidden="false" customHeight="true" outlineLevel="0" collapsed="false">
      <c r="A56" s="9" t="n">
        <v>45112</v>
      </c>
      <c r="B56" s="10" t="s">
        <v>3</v>
      </c>
      <c r="C56" s="10" t="s">
        <v>144</v>
      </c>
      <c r="D56" s="10" t="s">
        <v>54</v>
      </c>
      <c r="E56" s="11" t="s">
        <v>145</v>
      </c>
      <c r="F56" s="10" t="s">
        <v>11</v>
      </c>
      <c r="G56" s="10" t="s">
        <v>36</v>
      </c>
      <c r="H56" s="10" t="n">
        <v>6729</v>
      </c>
    </row>
    <row r="57" customFormat="false" ht="15" hidden="false" customHeight="true" outlineLevel="0" collapsed="false">
      <c r="A57" s="9" t="n">
        <v>45112</v>
      </c>
      <c r="B57" s="10" t="s">
        <v>3</v>
      </c>
      <c r="C57" s="10" t="s">
        <v>146</v>
      </c>
      <c r="D57" s="10" t="s">
        <v>38</v>
      </c>
      <c r="E57" s="11" t="s">
        <v>147</v>
      </c>
      <c r="F57" s="10" t="s">
        <v>8</v>
      </c>
      <c r="G57" s="10" t="s">
        <v>36</v>
      </c>
      <c r="H57" s="10" t="n">
        <v>6730</v>
      </c>
    </row>
    <row r="58" customFormat="false" ht="15" hidden="false" customHeight="true" outlineLevel="0" collapsed="false">
      <c r="A58" s="9" t="n">
        <v>45112</v>
      </c>
      <c r="B58" s="10" t="s">
        <v>3</v>
      </c>
      <c r="C58" s="10" t="s">
        <v>148</v>
      </c>
      <c r="D58" s="10" t="s">
        <v>38</v>
      </c>
      <c r="E58" s="11" t="s">
        <v>149</v>
      </c>
      <c r="F58" s="10" t="s">
        <v>8</v>
      </c>
      <c r="G58" s="10" t="s">
        <v>36</v>
      </c>
      <c r="H58" s="10" t="n">
        <v>6731</v>
      </c>
    </row>
    <row r="59" customFormat="false" ht="15" hidden="false" customHeight="true" outlineLevel="0" collapsed="false">
      <c r="A59" s="9" t="n">
        <v>45140</v>
      </c>
      <c r="B59" s="10" t="s">
        <v>3</v>
      </c>
      <c r="C59" s="10" t="s">
        <v>150</v>
      </c>
      <c r="D59" s="10" t="s">
        <v>54</v>
      </c>
      <c r="E59" s="11" t="s">
        <v>151</v>
      </c>
      <c r="F59" s="10" t="s">
        <v>11</v>
      </c>
      <c r="G59" s="10" t="s">
        <v>36</v>
      </c>
      <c r="H59" s="10" t="n">
        <v>6732</v>
      </c>
    </row>
    <row r="60" customFormat="false" ht="15" hidden="false" customHeight="true" outlineLevel="0" collapsed="false">
      <c r="A60" s="9" t="n">
        <v>45140</v>
      </c>
      <c r="B60" s="10" t="s">
        <v>3</v>
      </c>
      <c r="C60" s="10" t="s">
        <v>152</v>
      </c>
      <c r="D60" s="10" t="s">
        <v>54</v>
      </c>
      <c r="E60" s="11" t="s">
        <v>153</v>
      </c>
      <c r="F60" s="10" t="s">
        <v>12</v>
      </c>
      <c r="G60" s="10" t="s">
        <v>36</v>
      </c>
      <c r="H60" s="10" t="n">
        <v>6733</v>
      </c>
    </row>
    <row r="61" customFormat="false" ht="23.25" hidden="false" customHeight="true" outlineLevel="0" collapsed="false">
      <c r="A61" s="9" t="n">
        <v>45140</v>
      </c>
      <c r="B61" s="10" t="s">
        <v>3</v>
      </c>
      <c r="C61" s="10" t="s">
        <v>154</v>
      </c>
      <c r="D61" s="10" t="s">
        <v>54</v>
      </c>
      <c r="E61" s="11" t="s">
        <v>155</v>
      </c>
      <c r="F61" s="10" t="s">
        <v>12</v>
      </c>
      <c r="G61" s="10" t="s">
        <v>36</v>
      </c>
      <c r="H61" s="10" t="n">
        <v>6734</v>
      </c>
    </row>
    <row r="62" customFormat="false" ht="15" hidden="false" customHeight="true" outlineLevel="0" collapsed="false">
      <c r="A62" s="9" t="n">
        <v>45140</v>
      </c>
      <c r="B62" s="10" t="s">
        <v>3</v>
      </c>
      <c r="C62" s="10" t="s">
        <v>156</v>
      </c>
      <c r="D62" s="10" t="s">
        <v>54</v>
      </c>
      <c r="E62" s="11" t="s">
        <v>157</v>
      </c>
      <c r="F62" s="10" t="s">
        <v>11</v>
      </c>
      <c r="G62" s="10" t="s">
        <v>36</v>
      </c>
      <c r="H62" s="10" t="n">
        <v>6735</v>
      </c>
    </row>
    <row r="63" customFormat="false" ht="15" hidden="false" customHeight="true" outlineLevel="0" collapsed="false">
      <c r="A63" s="9" t="n">
        <v>45140</v>
      </c>
      <c r="B63" s="10" t="s">
        <v>3</v>
      </c>
      <c r="C63" s="10" t="s">
        <v>158</v>
      </c>
      <c r="D63" s="10" t="s">
        <v>54</v>
      </c>
      <c r="E63" s="11" t="s">
        <v>159</v>
      </c>
      <c r="F63" s="10" t="s">
        <v>11</v>
      </c>
      <c r="G63" s="10" t="s">
        <v>36</v>
      </c>
      <c r="H63" s="10" t="n">
        <v>6736</v>
      </c>
    </row>
    <row r="64" customFormat="false" ht="15" hidden="false" customHeight="true" outlineLevel="0" collapsed="false">
      <c r="A64" s="9" t="n">
        <v>45140</v>
      </c>
      <c r="B64" s="10" t="s">
        <v>3</v>
      </c>
      <c r="C64" s="10" t="s">
        <v>160</v>
      </c>
      <c r="D64" s="10" t="s">
        <v>54</v>
      </c>
      <c r="E64" s="11" t="s">
        <v>161</v>
      </c>
      <c r="F64" s="10" t="s">
        <v>11</v>
      </c>
      <c r="G64" s="10" t="s">
        <v>36</v>
      </c>
      <c r="H64" s="10" t="n">
        <v>6737</v>
      </c>
    </row>
    <row r="65" customFormat="false" ht="15" hidden="false" customHeight="true" outlineLevel="0" collapsed="false">
      <c r="A65" s="9" t="n">
        <v>45140</v>
      </c>
      <c r="B65" s="10" t="s">
        <v>3</v>
      </c>
      <c r="C65" s="10" t="s">
        <v>162</v>
      </c>
      <c r="D65" s="10" t="s">
        <v>54</v>
      </c>
      <c r="E65" s="11" t="s">
        <v>163</v>
      </c>
      <c r="F65" s="10" t="s">
        <v>11</v>
      </c>
      <c r="G65" s="10" t="s">
        <v>36</v>
      </c>
      <c r="H65" s="10" t="n">
        <v>6738</v>
      </c>
    </row>
    <row r="66" customFormat="false" ht="15" hidden="false" customHeight="true" outlineLevel="0" collapsed="false">
      <c r="A66" s="9" t="n">
        <v>45146</v>
      </c>
      <c r="B66" s="10" t="s">
        <v>3</v>
      </c>
      <c r="C66" s="10" t="s">
        <v>164</v>
      </c>
      <c r="D66" s="10" t="s">
        <v>54</v>
      </c>
      <c r="E66" s="11" t="s">
        <v>165</v>
      </c>
      <c r="F66" s="10" t="s">
        <v>11</v>
      </c>
      <c r="G66" s="10" t="s">
        <v>36</v>
      </c>
      <c r="H66" s="10" t="n">
        <v>6739</v>
      </c>
    </row>
    <row r="67" customFormat="false" ht="15" hidden="false" customHeight="true" outlineLevel="0" collapsed="false">
      <c r="A67" s="9" t="n">
        <v>45146</v>
      </c>
      <c r="B67" s="10" t="s">
        <v>3</v>
      </c>
      <c r="C67" s="10" t="s">
        <v>166</v>
      </c>
      <c r="D67" s="10" t="s">
        <v>54</v>
      </c>
      <c r="E67" s="11" t="s">
        <v>167</v>
      </c>
      <c r="F67" s="10" t="s">
        <v>11</v>
      </c>
      <c r="G67" s="10" t="s">
        <v>36</v>
      </c>
      <c r="H67" s="10" t="n">
        <v>6740</v>
      </c>
    </row>
    <row r="68" customFormat="false" ht="15" hidden="false" customHeight="true" outlineLevel="0" collapsed="false">
      <c r="A68" s="9" t="n">
        <v>45146</v>
      </c>
      <c r="B68" s="10" t="s">
        <v>3</v>
      </c>
      <c r="C68" s="10" t="s">
        <v>168</v>
      </c>
      <c r="D68" s="10" t="s">
        <v>54</v>
      </c>
      <c r="E68" s="11" t="s">
        <v>169</v>
      </c>
      <c r="F68" s="10" t="s">
        <v>11</v>
      </c>
      <c r="G68" s="10" t="s">
        <v>36</v>
      </c>
      <c r="H68" s="10" t="n">
        <v>6741</v>
      </c>
    </row>
    <row r="69" customFormat="false" ht="15" hidden="false" customHeight="true" outlineLevel="0" collapsed="false">
      <c r="A69" s="9" t="n">
        <v>45146</v>
      </c>
      <c r="B69" s="10" t="s">
        <v>3</v>
      </c>
      <c r="C69" s="10" t="s">
        <v>170</v>
      </c>
      <c r="D69" s="10" t="s">
        <v>54</v>
      </c>
      <c r="E69" s="11" t="s">
        <v>171</v>
      </c>
      <c r="F69" s="10" t="s">
        <v>11</v>
      </c>
      <c r="G69" s="10" t="s">
        <v>36</v>
      </c>
      <c r="H69" s="10" t="n">
        <v>6742</v>
      </c>
    </row>
    <row r="70" customFormat="false" ht="15" hidden="false" customHeight="true" outlineLevel="0" collapsed="false">
      <c r="A70" s="9" t="n">
        <v>45146</v>
      </c>
      <c r="B70" s="10" t="s">
        <v>3</v>
      </c>
      <c r="C70" s="10" t="s">
        <v>172</v>
      </c>
      <c r="D70" s="10" t="s">
        <v>54</v>
      </c>
      <c r="E70" s="11" t="s">
        <v>173</v>
      </c>
      <c r="F70" s="10" t="s">
        <v>11</v>
      </c>
      <c r="G70" s="10" t="s">
        <v>36</v>
      </c>
      <c r="H70" s="10" t="n">
        <v>6743</v>
      </c>
    </row>
    <row r="71" customFormat="false" ht="15" hidden="false" customHeight="true" outlineLevel="0" collapsed="false">
      <c r="A71" s="9" t="n">
        <v>45167</v>
      </c>
      <c r="B71" s="10" t="s">
        <v>3</v>
      </c>
      <c r="C71" s="10" t="s">
        <v>174</v>
      </c>
      <c r="D71" s="10" t="s">
        <v>38</v>
      </c>
      <c r="E71" s="11" t="s">
        <v>175</v>
      </c>
      <c r="F71" s="10" t="s">
        <v>8</v>
      </c>
      <c r="G71" s="10" t="s">
        <v>36</v>
      </c>
      <c r="H71" s="10" t="n">
        <v>6744</v>
      </c>
    </row>
    <row r="72" customFormat="false" ht="15" hidden="false" customHeight="true" outlineLevel="0" collapsed="false">
      <c r="A72" s="9" t="n">
        <v>45168</v>
      </c>
      <c r="B72" s="10" t="s">
        <v>3</v>
      </c>
      <c r="C72" s="10" t="s">
        <v>176</v>
      </c>
      <c r="D72" s="10" t="s">
        <v>43</v>
      </c>
      <c r="E72" s="11" t="s">
        <v>177</v>
      </c>
      <c r="F72" s="10" t="s">
        <v>9</v>
      </c>
      <c r="G72" s="10" t="s">
        <v>36</v>
      </c>
      <c r="H72" s="10" t="n">
        <v>6745</v>
      </c>
    </row>
    <row r="73" customFormat="false" ht="15" hidden="false" customHeight="true" outlineLevel="0" collapsed="false">
      <c r="A73" s="9" t="n">
        <v>45181</v>
      </c>
      <c r="B73" s="10" t="s">
        <v>3</v>
      </c>
      <c r="C73" s="10" t="s">
        <v>178</v>
      </c>
      <c r="D73" s="10" t="s">
        <v>50</v>
      </c>
      <c r="E73" s="11" t="s">
        <v>179</v>
      </c>
      <c r="F73" s="10" t="s">
        <v>8</v>
      </c>
      <c r="G73" s="10" t="s">
        <v>36</v>
      </c>
      <c r="H73" s="10" t="n">
        <v>6746</v>
      </c>
    </row>
    <row r="74" customFormat="false" ht="15" hidden="false" customHeight="true" outlineLevel="0" collapsed="false">
      <c r="A74" s="9" t="n">
        <v>45181</v>
      </c>
      <c r="B74" s="10" t="s">
        <v>3</v>
      </c>
      <c r="C74" s="10" t="s">
        <v>178</v>
      </c>
      <c r="D74" s="10" t="s">
        <v>50</v>
      </c>
      <c r="E74" s="11" t="s">
        <v>180</v>
      </c>
      <c r="F74" s="10" t="s">
        <v>8</v>
      </c>
      <c r="G74" s="10" t="s">
        <v>36</v>
      </c>
      <c r="H74" s="10" t="n">
        <v>6747</v>
      </c>
    </row>
    <row r="75" customFormat="false" ht="15" hidden="false" customHeight="true" outlineLevel="0" collapsed="false">
      <c r="A75" s="9" t="n">
        <v>45182</v>
      </c>
      <c r="B75" s="10" t="s">
        <v>3</v>
      </c>
      <c r="C75" s="10" t="s">
        <v>181</v>
      </c>
      <c r="D75" s="10" t="s">
        <v>54</v>
      </c>
      <c r="E75" s="11" t="s">
        <v>182</v>
      </c>
      <c r="F75" s="10" t="s">
        <v>12</v>
      </c>
      <c r="G75" s="10" t="s">
        <v>36</v>
      </c>
      <c r="H75" s="10" t="n">
        <v>6748</v>
      </c>
    </row>
    <row r="76" customFormat="false" ht="15" hidden="false" customHeight="true" outlineLevel="0" collapsed="false">
      <c r="A76" s="9" t="n">
        <v>45182</v>
      </c>
      <c r="B76" s="10" t="s">
        <v>3</v>
      </c>
      <c r="C76" s="10" t="s">
        <v>183</v>
      </c>
      <c r="D76" s="10" t="s">
        <v>54</v>
      </c>
      <c r="E76" s="11" t="s">
        <v>184</v>
      </c>
      <c r="F76" s="10" t="s">
        <v>11</v>
      </c>
      <c r="G76" s="10" t="s">
        <v>36</v>
      </c>
      <c r="H76" s="10" t="n">
        <v>6749</v>
      </c>
    </row>
    <row r="77" customFormat="false" ht="15" hidden="false" customHeight="true" outlineLevel="0" collapsed="false">
      <c r="A77" s="9" t="n">
        <v>45182</v>
      </c>
      <c r="B77" s="10" t="s">
        <v>3</v>
      </c>
      <c r="C77" s="10" t="s">
        <v>185</v>
      </c>
      <c r="D77" s="10" t="s">
        <v>54</v>
      </c>
      <c r="E77" s="11" t="s">
        <v>186</v>
      </c>
      <c r="F77" s="10" t="s">
        <v>11</v>
      </c>
      <c r="G77" s="10" t="s">
        <v>36</v>
      </c>
      <c r="H77" s="10" t="n">
        <v>6750</v>
      </c>
    </row>
    <row r="78" customFormat="false" ht="15" hidden="false" customHeight="true" outlineLevel="0" collapsed="false">
      <c r="A78" s="9" t="n">
        <v>45182</v>
      </c>
      <c r="B78" s="10" t="s">
        <v>3</v>
      </c>
      <c r="C78" s="10" t="s">
        <v>187</v>
      </c>
      <c r="D78" s="10" t="s">
        <v>54</v>
      </c>
      <c r="E78" s="11" t="s">
        <v>188</v>
      </c>
      <c r="F78" s="10" t="s">
        <v>11</v>
      </c>
      <c r="G78" s="10" t="s">
        <v>36</v>
      </c>
      <c r="H78" s="10" t="n">
        <v>6751</v>
      </c>
    </row>
    <row r="79" customFormat="false" ht="15" hidden="false" customHeight="true" outlineLevel="0" collapsed="false">
      <c r="A79" s="9" t="n">
        <v>45182</v>
      </c>
      <c r="B79" s="10" t="s">
        <v>3</v>
      </c>
      <c r="C79" s="10" t="s">
        <v>189</v>
      </c>
      <c r="D79" s="10" t="s">
        <v>54</v>
      </c>
      <c r="E79" s="11" t="s">
        <v>190</v>
      </c>
      <c r="F79" s="10" t="s">
        <v>11</v>
      </c>
      <c r="G79" s="10" t="s">
        <v>36</v>
      </c>
      <c r="H79" s="10" t="n">
        <v>6752</v>
      </c>
    </row>
    <row r="80" customFormat="false" ht="15" hidden="false" customHeight="true" outlineLevel="0" collapsed="false">
      <c r="A80" s="9" t="n">
        <v>45182</v>
      </c>
      <c r="B80" s="10" t="s">
        <v>3</v>
      </c>
      <c r="C80" s="10" t="s">
        <v>191</v>
      </c>
      <c r="D80" s="10" t="s">
        <v>54</v>
      </c>
      <c r="E80" s="11" t="s">
        <v>192</v>
      </c>
      <c r="F80" s="10" t="s">
        <v>11</v>
      </c>
      <c r="G80" s="10" t="s">
        <v>36</v>
      </c>
      <c r="H80" s="10" t="n">
        <v>6753</v>
      </c>
    </row>
    <row r="81" customFormat="false" ht="15" hidden="false" customHeight="true" outlineLevel="0" collapsed="false">
      <c r="A81" s="9" t="n">
        <v>45189</v>
      </c>
      <c r="B81" s="10" t="s">
        <v>3</v>
      </c>
      <c r="C81" s="10" t="s">
        <v>193</v>
      </c>
      <c r="D81" s="10" t="s">
        <v>54</v>
      </c>
      <c r="E81" s="11" t="s">
        <v>194</v>
      </c>
      <c r="F81" s="10" t="s">
        <v>11</v>
      </c>
      <c r="G81" s="10" t="s">
        <v>36</v>
      </c>
      <c r="H81" s="10" t="n">
        <v>6754</v>
      </c>
    </row>
    <row r="82" customFormat="false" ht="15" hidden="false" customHeight="true" outlineLevel="0" collapsed="false">
      <c r="A82" s="9" t="n">
        <v>45196</v>
      </c>
      <c r="B82" s="10" t="s">
        <v>3</v>
      </c>
      <c r="C82" s="10" t="s">
        <v>195</v>
      </c>
      <c r="D82" s="10" t="s">
        <v>196</v>
      </c>
      <c r="E82" s="11" t="s">
        <v>197</v>
      </c>
      <c r="F82" s="10" t="s">
        <v>15</v>
      </c>
      <c r="G82" s="10" t="s">
        <v>36</v>
      </c>
      <c r="H82" s="10" t="n">
        <v>6755</v>
      </c>
    </row>
    <row r="83" customFormat="false" ht="15" hidden="false" customHeight="true" outlineLevel="0" collapsed="false">
      <c r="A83" s="9" t="n">
        <v>45196</v>
      </c>
      <c r="B83" s="10" t="s">
        <v>3</v>
      </c>
      <c r="C83" s="10" t="s">
        <v>198</v>
      </c>
      <c r="D83" s="10" t="s">
        <v>43</v>
      </c>
      <c r="E83" s="11" t="s">
        <v>199</v>
      </c>
      <c r="F83" s="10" t="s">
        <v>15</v>
      </c>
      <c r="G83" s="10" t="s">
        <v>36</v>
      </c>
      <c r="H83" s="10" t="n">
        <v>6756</v>
      </c>
    </row>
    <row r="84" customFormat="false" ht="15" hidden="false" customHeight="true" outlineLevel="0" collapsed="false">
      <c r="A84" s="9" t="n">
        <v>45196</v>
      </c>
      <c r="B84" s="10" t="s">
        <v>3</v>
      </c>
      <c r="C84" s="10" t="s">
        <v>198</v>
      </c>
      <c r="D84" s="10" t="s">
        <v>43</v>
      </c>
      <c r="E84" s="11" t="s">
        <v>200</v>
      </c>
      <c r="F84" s="10" t="s">
        <v>15</v>
      </c>
      <c r="G84" s="10" t="s">
        <v>36</v>
      </c>
      <c r="H84" s="10" t="n">
        <v>6757</v>
      </c>
    </row>
    <row r="85" customFormat="false" ht="15" hidden="false" customHeight="true" outlineLevel="0" collapsed="false">
      <c r="A85" s="9" t="n">
        <v>45196</v>
      </c>
      <c r="B85" s="10" t="s">
        <v>3</v>
      </c>
      <c r="C85" s="10" t="s">
        <v>198</v>
      </c>
      <c r="D85" s="10" t="s">
        <v>43</v>
      </c>
      <c r="E85" s="11" t="s">
        <v>201</v>
      </c>
      <c r="F85" s="10" t="s">
        <v>15</v>
      </c>
      <c r="G85" s="10" t="s">
        <v>36</v>
      </c>
      <c r="H85" s="10" t="n">
        <v>6758</v>
      </c>
    </row>
    <row r="86" customFormat="false" ht="15" hidden="false" customHeight="true" outlineLevel="0" collapsed="false">
      <c r="A86" s="9" t="n">
        <v>45203</v>
      </c>
      <c r="B86" s="10" t="s">
        <v>3</v>
      </c>
      <c r="C86" s="10" t="s">
        <v>202</v>
      </c>
      <c r="D86" s="10" t="s">
        <v>38</v>
      </c>
      <c r="E86" s="11" t="s">
        <v>203</v>
      </c>
      <c r="F86" s="10" t="s">
        <v>8</v>
      </c>
      <c r="G86" s="10" t="s">
        <v>36</v>
      </c>
      <c r="H86" s="10" t="n">
        <v>6759</v>
      </c>
    </row>
    <row r="87" customFormat="false" ht="15" hidden="false" customHeight="true" outlineLevel="0" collapsed="false">
      <c r="A87" s="9" t="n">
        <v>45209</v>
      </c>
      <c r="B87" s="10" t="s">
        <v>3</v>
      </c>
      <c r="C87" s="10" t="s">
        <v>204</v>
      </c>
      <c r="D87" s="10" t="s">
        <v>43</v>
      </c>
      <c r="E87" s="11" t="s">
        <v>205</v>
      </c>
      <c r="F87" s="10" t="s">
        <v>9</v>
      </c>
      <c r="G87" s="10" t="s">
        <v>36</v>
      </c>
      <c r="H87" s="10" t="n">
        <v>6760</v>
      </c>
    </row>
    <row r="88" customFormat="false" ht="15" hidden="false" customHeight="true" outlineLevel="0" collapsed="false">
      <c r="A88" s="9" t="n">
        <v>45223</v>
      </c>
      <c r="B88" s="10" t="s">
        <v>3</v>
      </c>
      <c r="C88" s="10" t="s">
        <v>206</v>
      </c>
      <c r="D88" s="10" t="s">
        <v>43</v>
      </c>
      <c r="E88" s="11" t="s">
        <v>207</v>
      </c>
      <c r="F88" s="10" t="s">
        <v>8</v>
      </c>
      <c r="G88" s="10" t="s">
        <v>108</v>
      </c>
      <c r="H88" s="10" t="n">
        <v>6761</v>
      </c>
    </row>
    <row r="89" customFormat="false" ht="15" hidden="false" customHeight="true" outlineLevel="0" collapsed="false">
      <c r="A89" s="9" t="n">
        <v>45224</v>
      </c>
      <c r="B89" s="10" t="s">
        <v>3</v>
      </c>
      <c r="C89" s="10" t="s">
        <v>208</v>
      </c>
      <c r="D89" s="10" t="s">
        <v>54</v>
      </c>
      <c r="E89" s="11" t="s">
        <v>209</v>
      </c>
      <c r="F89" s="10" t="s">
        <v>12</v>
      </c>
      <c r="G89" s="10" t="s">
        <v>36</v>
      </c>
      <c r="H89" s="10" t="n">
        <v>6762</v>
      </c>
    </row>
    <row r="90" customFormat="false" ht="15" hidden="false" customHeight="true" outlineLevel="0" collapsed="false">
      <c r="A90" s="9" t="n">
        <v>45224</v>
      </c>
      <c r="B90" s="10" t="s">
        <v>3</v>
      </c>
      <c r="C90" s="10" t="s">
        <v>210</v>
      </c>
      <c r="D90" s="10" t="s">
        <v>54</v>
      </c>
      <c r="E90" s="11" t="s">
        <v>211</v>
      </c>
      <c r="F90" s="10" t="s">
        <v>12</v>
      </c>
      <c r="G90" s="10" t="s">
        <v>36</v>
      </c>
      <c r="H90" s="10" t="n">
        <v>6763</v>
      </c>
    </row>
    <row r="91" customFormat="false" ht="15" hidden="false" customHeight="true" outlineLevel="0" collapsed="false">
      <c r="A91" s="9" t="n">
        <v>45224</v>
      </c>
      <c r="B91" s="10" t="s">
        <v>3</v>
      </c>
      <c r="C91" s="10" t="s">
        <v>212</v>
      </c>
      <c r="D91" s="10" t="s">
        <v>54</v>
      </c>
      <c r="E91" s="11" t="s">
        <v>213</v>
      </c>
      <c r="F91" s="10" t="s">
        <v>11</v>
      </c>
      <c r="G91" s="10" t="s">
        <v>108</v>
      </c>
      <c r="H91" s="10" t="n">
        <v>6764</v>
      </c>
    </row>
    <row r="92" customFormat="false" ht="15" hidden="false" customHeight="true" outlineLevel="0" collapsed="false">
      <c r="A92" s="9" t="n">
        <v>45224</v>
      </c>
      <c r="B92" s="10" t="s">
        <v>3</v>
      </c>
      <c r="C92" s="10" t="s">
        <v>214</v>
      </c>
      <c r="D92" s="10" t="s">
        <v>54</v>
      </c>
      <c r="E92" s="11" t="s">
        <v>215</v>
      </c>
      <c r="F92" s="10" t="s">
        <v>11</v>
      </c>
      <c r="G92" s="10" t="s">
        <v>36</v>
      </c>
      <c r="H92" s="10" t="n">
        <v>6765</v>
      </c>
    </row>
    <row r="93" customFormat="false" ht="15" hidden="false" customHeight="true" outlineLevel="0" collapsed="false">
      <c r="A93" s="9" t="n">
        <v>45224</v>
      </c>
      <c r="B93" s="10" t="s">
        <v>3</v>
      </c>
      <c r="C93" s="10" t="s">
        <v>216</v>
      </c>
      <c r="D93" s="10" t="s">
        <v>54</v>
      </c>
      <c r="E93" s="11" t="s">
        <v>217</v>
      </c>
      <c r="F93" s="10" t="s">
        <v>11</v>
      </c>
      <c r="G93" s="10" t="s">
        <v>36</v>
      </c>
      <c r="H93" s="10" t="n">
        <v>6766</v>
      </c>
    </row>
    <row r="94" customFormat="false" ht="15" hidden="false" customHeight="true" outlineLevel="0" collapsed="false">
      <c r="A94" s="9" t="n">
        <v>45224</v>
      </c>
      <c r="B94" s="10" t="s">
        <v>3</v>
      </c>
      <c r="C94" s="10" t="s">
        <v>218</v>
      </c>
      <c r="D94" s="10" t="s">
        <v>54</v>
      </c>
      <c r="E94" s="11" t="s">
        <v>219</v>
      </c>
      <c r="F94" s="10" t="s">
        <v>11</v>
      </c>
      <c r="G94" s="10" t="s">
        <v>36</v>
      </c>
      <c r="H94" s="10" t="n">
        <v>6767</v>
      </c>
    </row>
    <row r="95" customFormat="false" ht="15" hidden="false" customHeight="true" outlineLevel="0" collapsed="false">
      <c r="A95" s="9" t="n">
        <v>45230</v>
      </c>
      <c r="B95" s="10" t="s">
        <v>3</v>
      </c>
      <c r="C95" s="10" t="s">
        <v>220</v>
      </c>
      <c r="D95" s="10" t="s">
        <v>43</v>
      </c>
      <c r="E95" s="11" t="s">
        <v>221</v>
      </c>
      <c r="F95" s="10" t="s">
        <v>9</v>
      </c>
      <c r="G95" s="10" t="s">
        <v>36</v>
      </c>
      <c r="H95" s="10" t="n">
        <v>6768</v>
      </c>
    </row>
    <row r="96" customFormat="false" ht="15" hidden="false" customHeight="true" outlineLevel="0" collapsed="false">
      <c r="A96" s="9" t="n">
        <v>45231</v>
      </c>
      <c r="B96" s="10" t="s">
        <v>3</v>
      </c>
      <c r="C96" s="10" t="s">
        <v>222</v>
      </c>
      <c r="D96" s="10" t="s">
        <v>43</v>
      </c>
      <c r="E96" s="11" t="s">
        <v>223</v>
      </c>
      <c r="F96" s="10" t="s">
        <v>9</v>
      </c>
      <c r="G96" s="10" t="s">
        <v>36</v>
      </c>
      <c r="H96" s="10" t="n">
        <v>6769</v>
      </c>
    </row>
    <row r="97" customFormat="false" ht="15" hidden="false" customHeight="true" outlineLevel="0" collapsed="false">
      <c r="A97" s="9" t="n">
        <v>45237</v>
      </c>
      <c r="B97" s="10" t="s">
        <v>3</v>
      </c>
      <c r="C97" s="10" t="s">
        <v>224</v>
      </c>
      <c r="D97" s="10" t="s">
        <v>196</v>
      </c>
      <c r="E97" s="11" t="s">
        <v>225</v>
      </c>
      <c r="F97" s="10" t="s">
        <v>9</v>
      </c>
      <c r="G97" s="10" t="s">
        <v>36</v>
      </c>
      <c r="H97" s="10" t="n">
        <v>6772</v>
      </c>
    </row>
    <row r="98" customFormat="false" ht="15" hidden="false" customHeight="true" outlineLevel="0" collapsed="false">
      <c r="A98" s="9" t="n">
        <v>45238</v>
      </c>
      <c r="B98" s="10" t="s">
        <v>3</v>
      </c>
      <c r="C98" s="10" t="s">
        <v>226</v>
      </c>
      <c r="D98" s="10" t="s">
        <v>50</v>
      </c>
      <c r="E98" s="11" t="s">
        <v>227</v>
      </c>
      <c r="F98" s="10" t="s">
        <v>9</v>
      </c>
      <c r="G98" s="10" t="s">
        <v>36</v>
      </c>
      <c r="H98" s="10" t="n">
        <v>6773</v>
      </c>
    </row>
    <row r="99" customFormat="false" ht="15" hidden="false" customHeight="true" outlineLevel="0" collapsed="false">
      <c r="A99" s="9" t="n">
        <v>45238</v>
      </c>
      <c r="B99" s="10" t="s">
        <v>3</v>
      </c>
      <c r="C99" s="10" t="s">
        <v>226</v>
      </c>
      <c r="D99" s="10" t="s">
        <v>50</v>
      </c>
      <c r="E99" s="11" t="s">
        <v>228</v>
      </c>
      <c r="F99" s="10" t="s">
        <v>8</v>
      </c>
      <c r="G99" s="10" t="s">
        <v>108</v>
      </c>
      <c r="H99" s="10" t="n">
        <v>6774</v>
      </c>
    </row>
    <row r="100" customFormat="false" ht="15" hidden="false" customHeight="true" outlineLevel="0" collapsed="false">
      <c r="A100" s="9" t="n">
        <v>45238</v>
      </c>
      <c r="B100" s="10" t="s">
        <v>3</v>
      </c>
      <c r="C100" s="10" t="s">
        <v>226</v>
      </c>
      <c r="D100" s="10" t="s">
        <v>50</v>
      </c>
      <c r="E100" s="11" t="s">
        <v>229</v>
      </c>
      <c r="F100" s="10" t="s">
        <v>12</v>
      </c>
      <c r="G100" s="10" t="s">
        <v>36</v>
      </c>
      <c r="H100" s="10" t="n">
        <v>6775</v>
      </c>
    </row>
    <row r="101" customFormat="false" ht="15" hidden="false" customHeight="true" outlineLevel="0" collapsed="false">
      <c r="A101" s="9" t="n">
        <v>45238</v>
      </c>
      <c r="B101" s="10" t="s">
        <v>3</v>
      </c>
      <c r="C101" s="10" t="s">
        <v>226</v>
      </c>
      <c r="D101" s="10" t="s">
        <v>50</v>
      </c>
      <c r="E101" s="11" t="s">
        <v>230</v>
      </c>
      <c r="F101" s="10" t="s">
        <v>8</v>
      </c>
      <c r="G101" s="10" t="s">
        <v>108</v>
      </c>
      <c r="H101" s="10" t="n">
        <v>6776</v>
      </c>
    </row>
    <row r="102" customFormat="false" ht="15" hidden="false" customHeight="true" outlineLevel="0" collapsed="false">
      <c r="A102" s="9" t="n">
        <v>45238</v>
      </c>
      <c r="B102" s="10" t="s">
        <v>3</v>
      </c>
      <c r="C102" s="10" t="s">
        <v>226</v>
      </c>
      <c r="D102" s="10" t="s">
        <v>50</v>
      </c>
      <c r="E102" s="11" t="s">
        <v>231</v>
      </c>
      <c r="F102" s="10" t="s">
        <v>9</v>
      </c>
      <c r="G102" s="10" t="s">
        <v>36</v>
      </c>
      <c r="H102" s="10" t="n">
        <v>6777</v>
      </c>
    </row>
    <row r="103" customFormat="false" ht="15" hidden="false" customHeight="true" outlineLevel="0" collapsed="false">
      <c r="A103" s="9" t="n">
        <v>45244</v>
      </c>
      <c r="B103" s="10" t="s">
        <v>3</v>
      </c>
      <c r="C103" s="10" t="s">
        <v>232</v>
      </c>
      <c r="D103" s="10" t="s">
        <v>38</v>
      </c>
      <c r="E103" s="11" t="s">
        <v>233</v>
      </c>
      <c r="F103" s="10" t="s">
        <v>8</v>
      </c>
      <c r="G103" s="10" t="s">
        <v>36</v>
      </c>
      <c r="H103" s="10" t="n">
        <v>6778</v>
      </c>
    </row>
    <row r="104" customFormat="false" ht="15" hidden="false" customHeight="true" outlineLevel="0" collapsed="false">
      <c r="A104" s="9" t="n">
        <v>45251</v>
      </c>
      <c r="B104" s="10" t="s">
        <v>3</v>
      </c>
      <c r="C104" s="10" t="s">
        <v>234</v>
      </c>
      <c r="D104" s="10" t="s">
        <v>196</v>
      </c>
      <c r="E104" s="11" t="s">
        <v>235</v>
      </c>
      <c r="F104" s="10" t="s">
        <v>8</v>
      </c>
      <c r="G104" s="10" t="s">
        <v>36</v>
      </c>
      <c r="H104" s="10" t="n">
        <v>6779</v>
      </c>
    </row>
    <row r="105" customFormat="false" ht="15" hidden="false" customHeight="true" outlineLevel="0" collapsed="false">
      <c r="A105" s="9" t="n">
        <v>45251</v>
      </c>
      <c r="B105" s="10" t="s">
        <v>3</v>
      </c>
      <c r="C105" s="10" t="s">
        <v>236</v>
      </c>
      <c r="D105" s="10" t="s">
        <v>50</v>
      </c>
      <c r="E105" s="11" t="s">
        <v>237</v>
      </c>
      <c r="F105" s="10" t="s">
        <v>8</v>
      </c>
      <c r="G105" s="10" t="s">
        <v>36</v>
      </c>
      <c r="H105" s="10" t="n">
        <v>6780</v>
      </c>
    </row>
    <row r="106" customFormat="false" ht="15" hidden="false" customHeight="true" outlineLevel="0" collapsed="false">
      <c r="A106" s="9" t="n">
        <v>45252</v>
      </c>
      <c r="B106" s="10" t="s">
        <v>3</v>
      </c>
      <c r="C106" s="10" t="s">
        <v>236</v>
      </c>
      <c r="D106" s="10" t="s">
        <v>50</v>
      </c>
      <c r="E106" s="11" t="s">
        <v>238</v>
      </c>
      <c r="F106" s="10" t="s">
        <v>8</v>
      </c>
      <c r="G106" s="10" t="s">
        <v>36</v>
      </c>
      <c r="H106" s="10" t="n">
        <v>6781</v>
      </c>
    </row>
    <row r="107" customFormat="false" ht="15" hidden="false" customHeight="true" outlineLevel="0" collapsed="false">
      <c r="A107" s="9" t="n">
        <v>45252</v>
      </c>
      <c r="B107" s="10" t="s">
        <v>3</v>
      </c>
      <c r="C107" s="10" t="s">
        <v>236</v>
      </c>
      <c r="D107" s="10" t="s">
        <v>50</v>
      </c>
      <c r="E107" s="11" t="s">
        <v>239</v>
      </c>
      <c r="F107" s="10" t="s">
        <v>8</v>
      </c>
      <c r="G107" s="10" t="s">
        <v>36</v>
      </c>
      <c r="H107" s="10" t="n">
        <v>6782</v>
      </c>
    </row>
    <row r="108" customFormat="false" ht="15" hidden="false" customHeight="true" outlineLevel="0" collapsed="false">
      <c r="A108" s="9" t="n">
        <v>45259</v>
      </c>
      <c r="B108" s="10" t="s">
        <v>3</v>
      </c>
      <c r="C108" s="10" t="s">
        <v>240</v>
      </c>
      <c r="D108" s="10" t="s">
        <v>38</v>
      </c>
      <c r="E108" s="11" t="s">
        <v>241</v>
      </c>
      <c r="F108" s="10" t="s">
        <v>8</v>
      </c>
      <c r="G108" s="10" t="s">
        <v>36</v>
      </c>
      <c r="H108" s="10" t="n">
        <v>6783</v>
      </c>
    </row>
    <row r="109" customFormat="false" ht="15" hidden="false" customHeight="true" outlineLevel="0" collapsed="false">
      <c r="A109" s="9" t="n">
        <v>45272</v>
      </c>
      <c r="B109" s="10" t="s">
        <v>3</v>
      </c>
      <c r="C109" s="10" t="s">
        <v>242</v>
      </c>
      <c r="D109" s="10" t="s">
        <v>54</v>
      </c>
      <c r="E109" s="11" t="s">
        <v>243</v>
      </c>
      <c r="F109" s="10" t="s">
        <v>12</v>
      </c>
      <c r="G109" s="10" t="s">
        <v>36</v>
      </c>
      <c r="H109" s="10" t="n">
        <v>6784</v>
      </c>
    </row>
    <row r="110" customFormat="false" ht="15" hidden="false" customHeight="true" outlineLevel="0" collapsed="false">
      <c r="A110" s="9" t="n">
        <v>45272</v>
      </c>
      <c r="B110" s="10" t="s">
        <v>3</v>
      </c>
      <c r="C110" s="10" t="s">
        <v>244</v>
      </c>
      <c r="D110" s="10" t="s">
        <v>54</v>
      </c>
      <c r="E110" s="11" t="s">
        <v>245</v>
      </c>
      <c r="F110" s="10" t="s">
        <v>12</v>
      </c>
      <c r="G110" s="10" t="s">
        <v>36</v>
      </c>
      <c r="H110" s="10" t="n">
        <v>6785</v>
      </c>
    </row>
    <row r="111" customFormat="false" ht="15" hidden="false" customHeight="true" outlineLevel="0" collapsed="false">
      <c r="A111" s="9" t="n">
        <v>45272</v>
      </c>
      <c r="B111" s="10" t="s">
        <v>3</v>
      </c>
      <c r="C111" s="10" t="s">
        <v>246</v>
      </c>
      <c r="D111" s="10" t="s">
        <v>54</v>
      </c>
      <c r="E111" s="11" t="s">
        <v>247</v>
      </c>
      <c r="F111" s="10" t="s">
        <v>11</v>
      </c>
      <c r="G111" s="10" t="s">
        <v>36</v>
      </c>
      <c r="H111" s="10" t="n">
        <v>6786</v>
      </c>
    </row>
    <row r="112" customFormat="false" ht="15" hidden="false" customHeight="true" outlineLevel="0" collapsed="false">
      <c r="A112" s="9" t="n">
        <v>45272</v>
      </c>
      <c r="B112" s="10" t="s">
        <v>3</v>
      </c>
      <c r="C112" s="10" t="s">
        <v>248</v>
      </c>
      <c r="D112" s="10" t="s">
        <v>54</v>
      </c>
      <c r="E112" s="11" t="s">
        <v>249</v>
      </c>
      <c r="F112" s="10" t="s">
        <v>11</v>
      </c>
      <c r="G112" s="10" t="s">
        <v>36</v>
      </c>
      <c r="H112" s="10" t="n">
        <v>6787</v>
      </c>
    </row>
    <row r="113" customFormat="false" ht="15" hidden="false" customHeight="true" outlineLevel="0" collapsed="false">
      <c r="A113" s="9" t="n">
        <v>45272</v>
      </c>
      <c r="B113" s="10" t="s">
        <v>3</v>
      </c>
      <c r="C113" s="10" t="s">
        <v>250</v>
      </c>
      <c r="D113" s="10" t="s">
        <v>54</v>
      </c>
      <c r="E113" s="11" t="s">
        <v>251</v>
      </c>
      <c r="F113" s="10" t="s">
        <v>11</v>
      </c>
      <c r="G113" s="10" t="s">
        <v>36</v>
      </c>
      <c r="H113" s="10" t="n">
        <v>6788</v>
      </c>
    </row>
    <row r="114" customFormat="false" ht="15" hidden="false" customHeight="true" outlineLevel="0" collapsed="false">
      <c r="A114" s="9" t="n">
        <v>45272</v>
      </c>
      <c r="B114" s="10" t="s">
        <v>3</v>
      </c>
      <c r="C114" s="10" t="s">
        <v>252</v>
      </c>
      <c r="D114" s="10" t="s">
        <v>54</v>
      </c>
      <c r="E114" s="11" t="s">
        <v>253</v>
      </c>
      <c r="F114" s="10" t="s">
        <v>11</v>
      </c>
      <c r="G114" s="10" t="s">
        <v>36</v>
      </c>
      <c r="H114" s="10" t="n">
        <v>6789</v>
      </c>
    </row>
    <row r="115" customFormat="false" ht="15" hidden="false" customHeight="true" outlineLevel="0" collapsed="false">
      <c r="A115" s="9" t="n">
        <v>45272</v>
      </c>
      <c r="B115" s="10" t="s">
        <v>3</v>
      </c>
      <c r="C115" s="10" t="s">
        <v>254</v>
      </c>
      <c r="D115" s="10" t="s">
        <v>54</v>
      </c>
      <c r="E115" s="11" t="s">
        <v>255</v>
      </c>
      <c r="F115" s="10" t="s">
        <v>11</v>
      </c>
      <c r="G115" s="10" t="s">
        <v>36</v>
      </c>
      <c r="H115" s="10" t="n">
        <v>6790</v>
      </c>
    </row>
    <row r="116" customFormat="false" ht="15" hidden="false" customHeight="true" outlineLevel="0" collapsed="false">
      <c r="A116" s="9" t="n">
        <v>45272</v>
      </c>
      <c r="B116" s="10" t="s">
        <v>3</v>
      </c>
      <c r="C116" s="10" t="s">
        <v>256</v>
      </c>
      <c r="D116" s="10" t="s">
        <v>54</v>
      </c>
      <c r="E116" s="11" t="s">
        <v>257</v>
      </c>
      <c r="F116" s="10" t="s">
        <v>11</v>
      </c>
      <c r="G116" s="10" t="s">
        <v>36</v>
      </c>
      <c r="H116" s="10" t="n">
        <v>6791</v>
      </c>
    </row>
    <row r="117" customFormat="false" ht="15" hidden="false" customHeight="true" outlineLevel="0" collapsed="false">
      <c r="A117" s="9" t="n">
        <v>45272</v>
      </c>
      <c r="B117" s="10" t="s">
        <v>3</v>
      </c>
      <c r="C117" s="10" t="s">
        <v>258</v>
      </c>
      <c r="D117" s="10" t="s">
        <v>54</v>
      </c>
      <c r="E117" s="11" t="s">
        <v>259</v>
      </c>
      <c r="F117" s="10" t="s">
        <v>11</v>
      </c>
      <c r="G117" s="10" t="s">
        <v>36</v>
      </c>
      <c r="H117" s="10" t="n">
        <v>6792</v>
      </c>
    </row>
    <row r="118" customFormat="false" ht="15" hidden="false" customHeight="true" outlineLevel="0" collapsed="false">
      <c r="A118" s="9" t="n">
        <v>45272</v>
      </c>
      <c r="B118" s="10" t="s">
        <v>3</v>
      </c>
      <c r="C118" s="10" t="s">
        <v>260</v>
      </c>
      <c r="D118" s="10" t="s">
        <v>54</v>
      </c>
      <c r="E118" s="11" t="s">
        <v>261</v>
      </c>
      <c r="F118" s="10" t="s">
        <v>12</v>
      </c>
      <c r="G118" s="10" t="s">
        <v>36</v>
      </c>
      <c r="H118" s="10" t="n">
        <v>6793</v>
      </c>
    </row>
    <row r="119" customFormat="false" ht="15" hidden="false" customHeight="true" outlineLevel="0" collapsed="false">
      <c r="A119" s="9" t="n">
        <v>45272</v>
      </c>
      <c r="B119" s="10" t="s">
        <v>3</v>
      </c>
      <c r="C119" s="10" t="s">
        <v>262</v>
      </c>
      <c r="D119" s="10" t="s">
        <v>54</v>
      </c>
      <c r="E119" s="11" t="s">
        <v>263</v>
      </c>
      <c r="F119" s="10" t="s">
        <v>12</v>
      </c>
      <c r="G119" s="10" t="s">
        <v>36</v>
      </c>
      <c r="H119" s="10" t="n">
        <v>6794</v>
      </c>
    </row>
    <row r="120" customFormat="false" ht="15" hidden="false" customHeight="true" outlineLevel="0" collapsed="false">
      <c r="A120" s="9" t="n">
        <v>45272</v>
      </c>
      <c r="B120" s="10" t="s">
        <v>3</v>
      </c>
      <c r="C120" s="10" t="s">
        <v>264</v>
      </c>
      <c r="D120" s="10" t="s">
        <v>54</v>
      </c>
      <c r="E120" s="11" t="s">
        <v>265</v>
      </c>
      <c r="F120" s="10" t="s">
        <v>11</v>
      </c>
      <c r="G120" s="10" t="s">
        <v>36</v>
      </c>
      <c r="H120" s="10" t="n">
        <v>6795</v>
      </c>
    </row>
    <row r="121" customFormat="false" ht="15" hidden="false" customHeight="true" outlineLevel="0" collapsed="false">
      <c r="A121" s="9" t="n">
        <v>45272</v>
      </c>
      <c r="B121" s="10" t="s">
        <v>3</v>
      </c>
      <c r="C121" s="10" t="s">
        <v>266</v>
      </c>
      <c r="D121" s="10" t="s">
        <v>196</v>
      </c>
      <c r="E121" s="11" t="s">
        <v>267</v>
      </c>
      <c r="F121" s="10" t="s">
        <v>9</v>
      </c>
      <c r="G121" s="10" t="s">
        <v>36</v>
      </c>
      <c r="H121" s="10" t="n">
        <v>6796</v>
      </c>
    </row>
    <row r="122" customFormat="false" ht="15" hidden="false" customHeight="true" outlineLevel="0" collapsed="false">
      <c r="A122" s="9" t="n">
        <v>45272</v>
      </c>
      <c r="B122" s="10" t="s">
        <v>3</v>
      </c>
      <c r="C122" s="10" t="s">
        <v>268</v>
      </c>
      <c r="D122" s="10" t="s">
        <v>43</v>
      </c>
      <c r="E122" s="11" t="s">
        <v>269</v>
      </c>
      <c r="F122" s="10" t="s">
        <v>8</v>
      </c>
      <c r="G122" s="10" t="s">
        <v>36</v>
      </c>
      <c r="H122" s="10" t="n">
        <v>6797</v>
      </c>
    </row>
    <row r="123" customFormat="false" ht="15" hidden="false" customHeight="true" outlineLevel="0" collapsed="false">
      <c r="A123" s="9" t="n">
        <v>45272</v>
      </c>
      <c r="B123" s="10" t="s">
        <v>3</v>
      </c>
      <c r="C123" s="10" t="s">
        <v>268</v>
      </c>
      <c r="D123" s="10" t="s">
        <v>43</v>
      </c>
      <c r="E123" s="11" t="s">
        <v>270</v>
      </c>
      <c r="F123" s="10" t="s">
        <v>8</v>
      </c>
      <c r="G123" s="10" t="s">
        <v>36</v>
      </c>
      <c r="H123" s="10" t="n">
        <v>6798</v>
      </c>
    </row>
    <row r="124" customFormat="false" ht="15" hidden="false" customHeight="true" outlineLevel="0" collapsed="false">
      <c r="A124" s="9" t="n">
        <v>45272</v>
      </c>
      <c r="B124" s="10" t="s">
        <v>3</v>
      </c>
      <c r="C124" s="10" t="s">
        <v>268</v>
      </c>
      <c r="D124" s="10" t="s">
        <v>43</v>
      </c>
      <c r="E124" s="11" t="s">
        <v>271</v>
      </c>
      <c r="F124" s="10" t="s">
        <v>9</v>
      </c>
      <c r="G124" s="10" t="s">
        <v>36</v>
      </c>
      <c r="H124" s="10" t="n">
        <v>6799</v>
      </c>
    </row>
    <row r="125" customFormat="false" ht="15" hidden="false" customHeight="true" outlineLevel="0" collapsed="false">
      <c r="A125" s="9" t="n">
        <v>45272</v>
      </c>
      <c r="B125" s="10" t="s">
        <v>3</v>
      </c>
      <c r="C125" s="10" t="s">
        <v>268</v>
      </c>
      <c r="D125" s="10" t="s">
        <v>43</v>
      </c>
      <c r="E125" s="11" t="s">
        <v>272</v>
      </c>
      <c r="F125" s="10" t="s">
        <v>8</v>
      </c>
      <c r="G125" s="10" t="s">
        <v>108</v>
      </c>
      <c r="H125" s="10" t="n">
        <v>6800</v>
      </c>
    </row>
    <row r="126" customFormat="false" ht="15" hidden="false" customHeight="true" outlineLevel="0" collapsed="false">
      <c r="A126" s="9" t="n">
        <v>45273</v>
      </c>
      <c r="B126" s="10" t="s">
        <v>3</v>
      </c>
      <c r="C126" s="10" t="s">
        <v>273</v>
      </c>
      <c r="D126" s="10" t="s">
        <v>54</v>
      </c>
      <c r="E126" s="11" t="s">
        <v>274</v>
      </c>
      <c r="F126" s="10" t="s">
        <v>12</v>
      </c>
      <c r="G126" s="10" t="s">
        <v>36</v>
      </c>
      <c r="H126" s="10" t="n">
        <v>6801</v>
      </c>
    </row>
    <row r="127" customFormat="false" ht="15" hidden="false" customHeight="true" outlineLevel="0" collapsed="false">
      <c r="A127" s="9" t="n">
        <v>45273</v>
      </c>
      <c r="B127" s="10" t="s">
        <v>3</v>
      </c>
      <c r="C127" s="10" t="s">
        <v>275</v>
      </c>
      <c r="D127" s="10" t="s">
        <v>54</v>
      </c>
      <c r="E127" s="11" t="s">
        <v>276</v>
      </c>
      <c r="F127" s="10" t="s">
        <v>12</v>
      </c>
      <c r="G127" s="10" t="s">
        <v>36</v>
      </c>
      <c r="H127" s="10" t="n">
        <v>6802</v>
      </c>
    </row>
    <row r="128" customFormat="false" ht="15" hidden="false" customHeight="true" outlineLevel="0" collapsed="false">
      <c r="A128" s="9" t="n">
        <v>45273</v>
      </c>
      <c r="B128" s="10" t="s">
        <v>3</v>
      </c>
      <c r="C128" s="10" t="s">
        <v>277</v>
      </c>
      <c r="D128" s="10" t="s">
        <v>54</v>
      </c>
      <c r="E128" s="11" t="s">
        <v>278</v>
      </c>
      <c r="F128" s="10" t="s">
        <v>11</v>
      </c>
      <c r="G128" s="10" t="s">
        <v>36</v>
      </c>
      <c r="H128" s="10" t="n">
        <v>6803</v>
      </c>
    </row>
    <row r="129" customFormat="false" ht="15" hidden="false" customHeight="true" outlineLevel="0" collapsed="false">
      <c r="A129" s="9" t="n">
        <v>45273</v>
      </c>
      <c r="B129" s="10" t="s">
        <v>3</v>
      </c>
      <c r="C129" s="10" t="s">
        <v>279</v>
      </c>
      <c r="D129" s="10" t="s">
        <v>54</v>
      </c>
      <c r="E129" s="11" t="s">
        <v>280</v>
      </c>
      <c r="F129" s="10" t="s">
        <v>11</v>
      </c>
      <c r="G129" s="10" t="s">
        <v>36</v>
      </c>
      <c r="H129" s="10" t="n">
        <v>6804</v>
      </c>
    </row>
    <row r="130" customFormat="false" ht="15" hidden="false" customHeight="true" outlineLevel="0" collapsed="false">
      <c r="A130" s="9" t="n">
        <v>45273</v>
      </c>
      <c r="B130" s="10" t="s">
        <v>3</v>
      </c>
      <c r="C130" s="10" t="s">
        <v>281</v>
      </c>
      <c r="D130" s="10" t="s">
        <v>54</v>
      </c>
      <c r="E130" s="11" t="s">
        <v>282</v>
      </c>
      <c r="F130" s="10" t="s">
        <v>11</v>
      </c>
      <c r="G130" s="10" t="s">
        <v>36</v>
      </c>
      <c r="H130" s="10" t="n">
        <v>6805</v>
      </c>
    </row>
    <row r="131" customFormat="false" ht="15" hidden="false" customHeight="true" outlineLevel="0" collapsed="false">
      <c r="A131" s="9" t="n">
        <v>45273</v>
      </c>
      <c r="B131" s="10" t="s">
        <v>3</v>
      </c>
      <c r="C131" s="10" t="s">
        <v>283</v>
      </c>
      <c r="D131" s="10" t="s">
        <v>54</v>
      </c>
      <c r="E131" s="11" t="s">
        <v>284</v>
      </c>
      <c r="F131" s="10" t="s">
        <v>11</v>
      </c>
      <c r="G131" s="10" t="s">
        <v>36</v>
      </c>
      <c r="H131" s="10" t="n">
        <v>6806</v>
      </c>
    </row>
    <row r="132" customFormat="false" ht="15" hidden="false" customHeight="true" outlineLevel="0" collapsed="false">
      <c r="A132" s="9" t="n">
        <v>45273</v>
      </c>
      <c r="B132" s="10" t="s">
        <v>3</v>
      </c>
      <c r="C132" s="10" t="s">
        <v>285</v>
      </c>
      <c r="D132" s="10" t="s">
        <v>54</v>
      </c>
      <c r="E132" s="11" t="s">
        <v>286</v>
      </c>
      <c r="F132" s="10" t="s">
        <v>11</v>
      </c>
      <c r="G132" s="10" t="s">
        <v>36</v>
      </c>
      <c r="H132" s="10" t="n">
        <v>6807</v>
      </c>
    </row>
    <row r="133" customFormat="false" ht="15" hidden="false" customHeight="true" outlineLevel="0" collapsed="false">
      <c r="A133" s="9" t="n">
        <v>45273</v>
      </c>
      <c r="B133" s="10" t="s">
        <v>3</v>
      </c>
      <c r="C133" s="10" t="s">
        <v>287</v>
      </c>
      <c r="D133" s="10" t="s">
        <v>54</v>
      </c>
      <c r="E133" s="11" t="s">
        <v>288</v>
      </c>
      <c r="F133" s="10" t="s">
        <v>11</v>
      </c>
      <c r="G133" s="10" t="s">
        <v>36</v>
      </c>
      <c r="H133" s="10" t="n">
        <v>6808</v>
      </c>
    </row>
    <row r="134" customFormat="false" ht="15" hidden="false" customHeight="true" outlineLevel="0" collapsed="false">
      <c r="A134" s="9" t="n">
        <v>45273</v>
      </c>
      <c r="B134" s="10" t="s">
        <v>3</v>
      </c>
      <c r="C134" s="10" t="s">
        <v>289</v>
      </c>
      <c r="D134" s="10" t="s">
        <v>54</v>
      </c>
      <c r="E134" s="11" t="s">
        <v>290</v>
      </c>
      <c r="F134" s="10" t="s">
        <v>11</v>
      </c>
      <c r="G134" s="10" t="s">
        <v>36</v>
      </c>
      <c r="H134" s="10" t="n">
        <v>6809</v>
      </c>
    </row>
    <row r="135" customFormat="false" ht="15" hidden="false" customHeight="true" outlineLevel="0" collapsed="false">
      <c r="A135" s="9" t="n">
        <v>45273</v>
      </c>
      <c r="B135" s="10" t="s">
        <v>3</v>
      </c>
      <c r="C135" s="10" t="s">
        <v>291</v>
      </c>
      <c r="D135" s="10" t="s">
        <v>54</v>
      </c>
      <c r="E135" s="11" t="s">
        <v>292</v>
      </c>
      <c r="F135" s="10" t="s">
        <v>11</v>
      </c>
      <c r="G135" s="10" t="s">
        <v>36</v>
      </c>
      <c r="H135" s="10" t="n">
        <v>6810</v>
      </c>
    </row>
    <row r="136" customFormat="false" ht="15" hidden="false" customHeight="true" outlineLevel="0" collapsed="false">
      <c r="A136" s="9" t="n">
        <v>45273</v>
      </c>
      <c r="B136" s="10" t="s">
        <v>3</v>
      </c>
      <c r="C136" s="10" t="s">
        <v>293</v>
      </c>
      <c r="D136" s="10" t="s">
        <v>54</v>
      </c>
      <c r="E136" s="11" t="s">
        <v>294</v>
      </c>
      <c r="F136" s="10" t="s">
        <v>11</v>
      </c>
      <c r="G136" s="10" t="s">
        <v>36</v>
      </c>
      <c r="H136" s="10" t="n">
        <v>6811</v>
      </c>
    </row>
    <row r="137" customFormat="false" ht="15" hidden="false" customHeight="true" outlineLevel="0" collapsed="false">
      <c r="A137" s="9" t="n">
        <v>45273</v>
      </c>
      <c r="B137" s="10" t="s">
        <v>3</v>
      </c>
      <c r="C137" s="10" t="s">
        <v>295</v>
      </c>
      <c r="D137" s="10" t="s">
        <v>54</v>
      </c>
      <c r="E137" s="11" t="s">
        <v>296</v>
      </c>
      <c r="F137" s="10" t="s">
        <v>11</v>
      </c>
      <c r="G137" s="10" t="s">
        <v>36</v>
      </c>
      <c r="H137" s="10" t="n">
        <v>6812</v>
      </c>
    </row>
    <row r="138" customFormat="false" ht="15" hidden="false" customHeight="true" outlineLevel="0" collapsed="false">
      <c r="A138" s="9" t="n">
        <v>45273</v>
      </c>
      <c r="B138" s="10" t="s">
        <v>3</v>
      </c>
      <c r="C138" s="10" t="s">
        <v>297</v>
      </c>
      <c r="D138" s="10" t="s">
        <v>54</v>
      </c>
      <c r="E138" s="11" t="s">
        <v>298</v>
      </c>
      <c r="F138" s="10" t="s">
        <v>11</v>
      </c>
      <c r="G138" s="10" t="s">
        <v>36</v>
      </c>
      <c r="H138" s="10" t="n">
        <v>6813</v>
      </c>
    </row>
    <row r="139" customFormat="false" ht="15" hidden="false" customHeight="true" outlineLevel="0" collapsed="false">
      <c r="A139" s="9" t="n">
        <v>45273</v>
      </c>
      <c r="B139" s="10" t="s">
        <v>3</v>
      </c>
      <c r="C139" s="10" t="s">
        <v>299</v>
      </c>
      <c r="D139" s="10" t="s">
        <v>54</v>
      </c>
      <c r="E139" s="11" t="s">
        <v>300</v>
      </c>
      <c r="F139" s="10" t="s">
        <v>11</v>
      </c>
      <c r="G139" s="10" t="s">
        <v>36</v>
      </c>
      <c r="H139" s="10" t="n">
        <v>6814</v>
      </c>
    </row>
    <row r="140" customFormat="false" ht="15" hidden="false" customHeight="true" outlineLevel="0" collapsed="false">
      <c r="A140" s="9" t="n">
        <v>45273</v>
      </c>
      <c r="B140" s="10" t="s">
        <v>3</v>
      </c>
      <c r="C140" s="10" t="s">
        <v>301</v>
      </c>
      <c r="D140" s="10" t="s">
        <v>54</v>
      </c>
      <c r="E140" s="11" t="s">
        <v>302</v>
      </c>
      <c r="F140" s="10" t="s">
        <v>11</v>
      </c>
      <c r="G140" s="10" t="s">
        <v>36</v>
      </c>
      <c r="H140" s="10" t="n">
        <v>6815</v>
      </c>
    </row>
    <row r="141" customFormat="false" ht="15" hidden="false" customHeight="true" outlineLevel="0" collapsed="false">
      <c r="A141" s="9" t="n">
        <v>45280</v>
      </c>
      <c r="B141" s="10" t="s">
        <v>3</v>
      </c>
      <c r="C141" s="10" t="s">
        <v>303</v>
      </c>
      <c r="D141" s="10" t="s">
        <v>97</v>
      </c>
      <c r="E141" s="11" t="s">
        <v>304</v>
      </c>
      <c r="F141" s="10" t="s">
        <v>9</v>
      </c>
      <c r="G141" s="10" t="s">
        <v>36</v>
      </c>
      <c r="H141" s="10" t="n">
        <v>6816</v>
      </c>
    </row>
    <row r="142" customFormat="false" ht="15" hidden="false" customHeight="true" outlineLevel="0" collapsed="false">
      <c r="A142" s="9" t="n">
        <v>45280</v>
      </c>
      <c r="B142" s="10" t="s">
        <v>3</v>
      </c>
      <c r="C142" s="10" t="s">
        <v>303</v>
      </c>
      <c r="D142" s="10" t="s">
        <v>97</v>
      </c>
      <c r="E142" s="11" t="s">
        <v>305</v>
      </c>
      <c r="F142" s="10" t="s">
        <v>8</v>
      </c>
      <c r="G142" s="10" t="s">
        <v>108</v>
      </c>
      <c r="H142" s="10" t="n">
        <v>6817</v>
      </c>
    </row>
    <row r="143" customFormat="false" ht="15" hidden="false" customHeight="true" outlineLevel="0" collapsed="false">
      <c r="A143" s="9" t="n">
        <v>45342</v>
      </c>
      <c r="B143" s="10" t="s">
        <v>4</v>
      </c>
      <c r="C143" s="10" t="s">
        <v>306</v>
      </c>
      <c r="D143" s="10" t="s">
        <v>43</v>
      </c>
      <c r="E143" s="11" t="s">
        <v>307</v>
      </c>
      <c r="F143" s="10" t="s">
        <v>8</v>
      </c>
      <c r="G143" s="10" t="s">
        <v>36</v>
      </c>
      <c r="H143" s="10" t="n">
        <v>6818</v>
      </c>
    </row>
    <row r="144" customFormat="false" ht="15" hidden="false" customHeight="true" outlineLevel="0" collapsed="false">
      <c r="A144" s="9" t="n">
        <v>45342</v>
      </c>
      <c r="B144" s="10" t="s">
        <v>4</v>
      </c>
      <c r="C144" s="10" t="s">
        <v>306</v>
      </c>
      <c r="D144" s="10" t="s">
        <v>43</v>
      </c>
      <c r="E144" s="11" t="s">
        <v>308</v>
      </c>
      <c r="F144" s="10" t="s">
        <v>9</v>
      </c>
      <c r="G144" s="10" t="s">
        <v>108</v>
      </c>
      <c r="H144" s="10" t="n">
        <v>6819</v>
      </c>
    </row>
    <row r="145" customFormat="false" ht="15" hidden="false" customHeight="true" outlineLevel="0" collapsed="false">
      <c r="A145" s="9" t="n">
        <v>45356</v>
      </c>
      <c r="B145" s="10" t="s">
        <v>4</v>
      </c>
      <c r="C145" s="10" t="s">
        <v>309</v>
      </c>
      <c r="D145" s="10" t="s">
        <v>38</v>
      </c>
      <c r="E145" s="11" t="s">
        <v>310</v>
      </c>
      <c r="F145" s="10" t="s">
        <v>9</v>
      </c>
      <c r="G145" s="10" t="s">
        <v>36</v>
      </c>
      <c r="H145" s="10" t="n">
        <v>6820</v>
      </c>
    </row>
    <row r="146" customFormat="false" ht="15" hidden="false" customHeight="true" outlineLevel="0" collapsed="false">
      <c r="A146" s="9" t="n">
        <v>45364</v>
      </c>
      <c r="B146" s="10" t="s">
        <v>4</v>
      </c>
      <c r="C146" s="10" t="s">
        <v>311</v>
      </c>
      <c r="D146" s="10" t="s">
        <v>50</v>
      </c>
      <c r="E146" s="11" t="s">
        <v>312</v>
      </c>
      <c r="F146" s="10" t="s">
        <v>8</v>
      </c>
      <c r="G146" s="10" t="s">
        <v>36</v>
      </c>
      <c r="H146" s="10" t="n">
        <v>6821</v>
      </c>
    </row>
    <row r="147" customFormat="false" ht="15" hidden="false" customHeight="true" outlineLevel="0" collapsed="false">
      <c r="A147" s="9" t="n">
        <v>45364</v>
      </c>
      <c r="B147" s="10" t="s">
        <v>4</v>
      </c>
      <c r="C147" s="10" t="s">
        <v>311</v>
      </c>
      <c r="D147" s="10" t="s">
        <v>50</v>
      </c>
      <c r="E147" s="11" t="s">
        <v>313</v>
      </c>
      <c r="F147" s="10" t="s">
        <v>8</v>
      </c>
      <c r="G147" s="10" t="s">
        <v>36</v>
      </c>
      <c r="H147" s="10" t="n">
        <v>6822</v>
      </c>
    </row>
    <row r="148" customFormat="false" ht="15" hidden="false" customHeight="true" outlineLevel="0" collapsed="false">
      <c r="A148" s="9" t="n">
        <v>45392</v>
      </c>
      <c r="B148" s="10" t="s">
        <v>4</v>
      </c>
      <c r="C148" s="10" t="s">
        <v>314</v>
      </c>
      <c r="D148" s="10" t="s">
        <v>38</v>
      </c>
      <c r="E148" s="11" t="s">
        <v>315</v>
      </c>
      <c r="F148" s="10" t="s">
        <v>8</v>
      </c>
      <c r="G148" s="10" t="s">
        <v>36</v>
      </c>
      <c r="H148" s="10" t="n">
        <v>6823</v>
      </c>
    </row>
    <row r="149" customFormat="false" ht="15" hidden="false" customHeight="true" outlineLevel="0" collapsed="false">
      <c r="A149" s="9" t="n">
        <v>45398</v>
      </c>
      <c r="B149" s="10" t="s">
        <v>4</v>
      </c>
      <c r="C149" s="10" t="s">
        <v>316</v>
      </c>
      <c r="D149" s="10" t="s">
        <v>50</v>
      </c>
      <c r="E149" s="11" t="s">
        <v>317</v>
      </c>
      <c r="F149" s="10" t="s">
        <v>8</v>
      </c>
      <c r="G149" s="10" t="s">
        <v>36</v>
      </c>
      <c r="H149" s="10" t="n">
        <v>6824</v>
      </c>
    </row>
    <row r="150" customFormat="false" ht="15" hidden="false" customHeight="true" outlineLevel="0" collapsed="false">
      <c r="A150" s="9" t="n">
        <v>45398</v>
      </c>
      <c r="B150" s="10" t="s">
        <v>4</v>
      </c>
      <c r="C150" s="10" t="s">
        <v>316</v>
      </c>
      <c r="D150" s="10" t="s">
        <v>50</v>
      </c>
      <c r="E150" s="11" t="s">
        <v>318</v>
      </c>
      <c r="F150" s="10" t="s">
        <v>8</v>
      </c>
      <c r="G150" s="10" t="s">
        <v>36</v>
      </c>
      <c r="H150" s="10" t="n">
        <v>6825</v>
      </c>
    </row>
    <row r="151" customFormat="false" ht="15" hidden="false" customHeight="true" outlineLevel="0" collapsed="false">
      <c r="A151" s="9" t="n">
        <v>45399</v>
      </c>
      <c r="B151" s="10" t="s">
        <v>4</v>
      </c>
      <c r="C151" s="10" t="s">
        <v>319</v>
      </c>
      <c r="D151" s="10" t="s">
        <v>38</v>
      </c>
      <c r="E151" s="11" t="s">
        <v>320</v>
      </c>
      <c r="F151" s="10" t="s">
        <v>8</v>
      </c>
      <c r="G151" s="10" t="s">
        <v>36</v>
      </c>
      <c r="H151" s="10" t="n">
        <v>6826</v>
      </c>
    </row>
    <row r="152" customFormat="false" ht="15" hidden="false" customHeight="true" outlineLevel="0" collapsed="false">
      <c r="A152" s="9" t="n">
        <v>45420</v>
      </c>
      <c r="B152" s="10" t="s">
        <v>4</v>
      </c>
      <c r="C152" s="10" t="s">
        <v>321</v>
      </c>
      <c r="D152" s="10" t="s">
        <v>38</v>
      </c>
      <c r="E152" s="11" t="s">
        <v>322</v>
      </c>
      <c r="F152" s="10" t="s">
        <v>9</v>
      </c>
      <c r="G152" s="10" t="s">
        <v>36</v>
      </c>
      <c r="H152" s="10" t="n">
        <v>6827</v>
      </c>
    </row>
    <row r="153" customFormat="false" ht="15" hidden="false" customHeight="true" outlineLevel="0" collapsed="false">
      <c r="A153" s="9" t="n">
        <v>45420</v>
      </c>
      <c r="B153" s="10" t="s">
        <v>4</v>
      </c>
      <c r="C153" s="10" t="s">
        <v>321</v>
      </c>
      <c r="D153" s="10" t="s">
        <v>38</v>
      </c>
      <c r="E153" s="11" t="s">
        <v>323</v>
      </c>
      <c r="F153" s="10" t="s">
        <v>9</v>
      </c>
      <c r="G153" s="10" t="s">
        <v>36</v>
      </c>
      <c r="H153" s="10" t="n">
        <v>6828</v>
      </c>
    </row>
    <row r="154" customFormat="false" ht="15" hidden="false" customHeight="true" outlineLevel="0" collapsed="false">
      <c r="A154" s="9" t="n">
        <v>45420</v>
      </c>
      <c r="B154" s="10" t="s">
        <v>4</v>
      </c>
      <c r="C154" s="10" t="s">
        <v>321</v>
      </c>
      <c r="D154" s="10" t="s">
        <v>38</v>
      </c>
      <c r="E154" s="11" t="s">
        <v>324</v>
      </c>
      <c r="F154" s="10" t="s">
        <v>8</v>
      </c>
      <c r="G154" s="10" t="s">
        <v>108</v>
      </c>
      <c r="H154" s="10" t="n">
        <v>6829</v>
      </c>
    </row>
    <row r="155" customFormat="false" ht="15" hidden="false" customHeight="true" outlineLevel="0" collapsed="false">
      <c r="A155" s="9" t="n">
        <v>45420</v>
      </c>
      <c r="B155" s="10" t="s">
        <v>4</v>
      </c>
      <c r="C155" s="10" t="s">
        <v>321</v>
      </c>
      <c r="D155" s="10" t="s">
        <v>38</v>
      </c>
      <c r="E155" s="11" t="s">
        <v>325</v>
      </c>
      <c r="F155" s="10" t="s">
        <v>8</v>
      </c>
      <c r="G155" s="10" t="s">
        <v>108</v>
      </c>
      <c r="H155" s="10" t="n">
        <v>6830</v>
      </c>
    </row>
    <row r="156" customFormat="false" ht="15" hidden="false" customHeight="true" outlineLevel="0" collapsed="false">
      <c r="A156" s="9" t="n">
        <v>45427</v>
      </c>
      <c r="B156" s="10" t="s">
        <v>4</v>
      </c>
      <c r="C156" s="10" t="s">
        <v>326</v>
      </c>
      <c r="D156" s="10" t="s">
        <v>38</v>
      </c>
      <c r="E156" s="11" t="s">
        <v>327</v>
      </c>
      <c r="F156" s="10" t="s">
        <v>8</v>
      </c>
      <c r="G156" s="10" t="s">
        <v>36</v>
      </c>
      <c r="H156" s="10" t="n">
        <v>6831</v>
      </c>
    </row>
    <row r="157" customFormat="false" ht="15" hidden="false" customHeight="true" outlineLevel="0" collapsed="false">
      <c r="A157" s="9" t="n">
        <v>45427</v>
      </c>
      <c r="B157" s="10" t="s">
        <v>4</v>
      </c>
      <c r="C157" s="10" t="s">
        <v>326</v>
      </c>
      <c r="D157" s="10" t="s">
        <v>38</v>
      </c>
      <c r="E157" s="11" t="s">
        <v>328</v>
      </c>
      <c r="F157" s="10" t="s">
        <v>8</v>
      </c>
      <c r="G157" s="10" t="s">
        <v>108</v>
      </c>
      <c r="H157" s="10" t="n">
        <v>6832</v>
      </c>
    </row>
    <row r="158" customFormat="false" ht="15" hidden="false" customHeight="true" outlineLevel="0" collapsed="false">
      <c r="A158" s="9" t="n">
        <v>45434</v>
      </c>
      <c r="B158" s="10" t="s">
        <v>4</v>
      </c>
      <c r="C158" s="10" t="s">
        <v>329</v>
      </c>
      <c r="D158" s="10" t="s">
        <v>38</v>
      </c>
      <c r="E158" s="11" t="s">
        <v>330</v>
      </c>
      <c r="F158" s="10" t="s">
        <v>8</v>
      </c>
      <c r="G158" s="10" t="s">
        <v>36</v>
      </c>
      <c r="H158" s="10" t="n">
        <v>6833</v>
      </c>
    </row>
    <row r="159" customFormat="false" ht="23.25" hidden="false" customHeight="true" outlineLevel="0" collapsed="false">
      <c r="A159" s="9" t="n">
        <v>45434</v>
      </c>
      <c r="B159" s="10" t="s">
        <v>4</v>
      </c>
      <c r="C159" s="10" t="s">
        <v>331</v>
      </c>
      <c r="D159" s="10" t="s">
        <v>196</v>
      </c>
      <c r="E159" s="11" t="s">
        <v>332</v>
      </c>
      <c r="F159" s="10" t="s">
        <v>8</v>
      </c>
      <c r="G159" s="10" t="s">
        <v>108</v>
      </c>
      <c r="H159" s="10" t="n">
        <v>6834</v>
      </c>
    </row>
    <row r="160" customFormat="false" ht="23.25" hidden="false" customHeight="true" outlineLevel="0" collapsed="false">
      <c r="A160" s="9" t="n">
        <v>45434</v>
      </c>
      <c r="B160" s="10" t="s">
        <v>4</v>
      </c>
      <c r="C160" s="10" t="s">
        <v>333</v>
      </c>
      <c r="D160" s="10" t="s">
        <v>43</v>
      </c>
      <c r="E160" s="11" t="s">
        <v>334</v>
      </c>
      <c r="F160" s="10" t="s">
        <v>8</v>
      </c>
      <c r="G160" s="10" t="s">
        <v>108</v>
      </c>
      <c r="H160" s="10" t="n">
        <v>6835</v>
      </c>
    </row>
    <row r="161" customFormat="false" ht="15" hidden="false" customHeight="true" outlineLevel="0" collapsed="false">
      <c r="A161" s="9" t="n">
        <v>45448</v>
      </c>
      <c r="B161" s="10" t="s">
        <v>4</v>
      </c>
      <c r="C161" s="10" t="s">
        <v>335</v>
      </c>
      <c r="D161" s="10" t="s">
        <v>43</v>
      </c>
      <c r="E161" s="11" t="s">
        <v>336</v>
      </c>
      <c r="F161" s="10" t="s">
        <v>8</v>
      </c>
      <c r="G161" s="10" t="s">
        <v>36</v>
      </c>
      <c r="H161" s="10" t="n">
        <v>6836</v>
      </c>
    </row>
    <row r="162" customFormat="false" ht="15" hidden="false" customHeight="true" outlineLevel="0" collapsed="false">
      <c r="A162" s="9" t="n">
        <v>45461</v>
      </c>
      <c r="B162" s="10" t="s">
        <v>4</v>
      </c>
      <c r="C162" s="10" t="s">
        <v>337</v>
      </c>
      <c r="D162" s="10" t="s">
        <v>43</v>
      </c>
      <c r="E162" s="11" t="s">
        <v>338</v>
      </c>
      <c r="F162" s="10" t="s">
        <v>9</v>
      </c>
      <c r="G162" s="10" t="s">
        <v>36</v>
      </c>
      <c r="H162" s="10" t="n">
        <v>6837</v>
      </c>
    </row>
    <row r="163" customFormat="false" ht="15" hidden="false" customHeight="true" outlineLevel="0" collapsed="false">
      <c r="A163" s="9" t="n">
        <v>45462</v>
      </c>
      <c r="B163" s="10" t="s">
        <v>4</v>
      </c>
      <c r="C163" s="10" t="s">
        <v>339</v>
      </c>
      <c r="D163" s="10" t="s">
        <v>54</v>
      </c>
      <c r="E163" s="11" t="s">
        <v>340</v>
      </c>
      <c r="F163" s="10" t="s">
        <v>11</v>
      </c>
      <c r="G163" s="10" t="s">
        <v>36</v>
      </c>
      <c r="H163" s="10" t="n">
        <v>6841</v>
      </c>
    </row>
    <row r="164" customFormat="false" ht="15" hidden="false" customHeight="true" outlineLevel="0" collapsed="false">
      <c r="A164" s="9" t="n">
        <v>45462</v>
      </c>
      <c r="B164" s="10" t="s">
        <v>4</v>
      </c>
      <c r="C164" s="10" t="s">
        <v>341</v>
      </c>
      <c r="D164" s="10" t="s">
        <v>54</v>
      </c>
      <c r="E164" s="11" t="s">
        <v>342</v>
      </c>
      <c r="F164" s="10" t="s">
        <v>11</v>
      </c>
      <c r="G164" s="10" t="s">
        <v>36</v>
      </c>
      <c r="H164" s="10" t="n">
        <v>6842</v>
      </c>
    </row>
    <row r="165" customFormat="false" ht="15" hidden="false" customHeight="true" outlineLevel="0" collapsed="false">
      <c r="A165" s="9" t="n">
        <v>45462</v>
      </c>
      <c r="B165" s="10" t="s">
        <v>4</v>
      </c>
      <c r="C165" s="10" t="s">
        <v>343</v>
      </c>
      <c r="D165" s="10" t="s">
        <v>54</v>
      </c>
      <c r="E165" s="11" t="s">
        <v>344</v>
      </c>
      <c r="F165" s="10" t="s">
        <v>12</v>
      </c>
      <c r="G165" s="10" t="s">
        <v>36</v>
      </c>
      <c r="H165" s="10" t="n">
        <v>6843</v>
      </c>
    </row>
    <row r="166" customFormat="false" ht="15" hidden="false" customHeight="true" outlineLevel="0" collapsed="false">
      <c r="A166" s="9" t="n">
        <v>45462</v>
      </c>
      <c r="B166" s="10" t="s">
        <v>4</v>
      </c>
      <c r="C166" s="10" t="s">
        <v>345</v>
      </c>
      <c r="D166" s="10" t="s">
        <v>54</v>
      </c>
      <c r="E166" s="11" t="s">
        <v>346</v>
      </c>
      <c r="F166" s="10" t="s">
        <v>11</v>
      </c>
      <c r="G166" s="10" t="s">
        <v>36</v>
      </c>
      <c r="H166" s="10" t="n">
        <v>6844</v>
      </c>
    </row>
    <row r="167" customFormat="false" ht="15" hidden="false" customHeight="true" outlineLevel="0" collapsed="false">
      <c r="A167" s="9" t="n">
        <v>45462</v>
      </c>
      <c r="B167" s="10" t="s">
        <v>4</v>
      </c>
      <c r="C167" s="10" t="s">
        <v>347</v>
      </c>
      <c r="D167" s="10" t="s">
        <v>54</v>
      </c>
      <c r="E167" s="11" t="s">
        <v>348</v>
      </c>
      <c r="F167" s="10" t="s">
        <v>11</v>
      </c>
      <c r="G167" s="10" t="s">
        <v>36</v>
      </c>
      <c r="H167" s="10" t="n">
        <v>6845</v>
      </c>
    </row>
    <row r="168" customFormat="false" ht="15" hidden="false" customHeight="true" outlineLevel="0" collapsed="false">
      <c r="A168" s="9" t="n">
        <v>45462</v>
      </c>
      <c r="B168" s="10" t="s">
        <v>4</v>
      </c>
      <c r="C168" s="10" t="s">
        <v>349</v>
      </c>
      <c r="D168" s="10" t="s">
        <v>54</v>
      </c>
      <c r="E168" s="11" t="s">
        <v>350</v>
      </c>
      <c r="F168" s="10" t="s">
        <v>11</v>
      </c>
      <c r="G168" s="10" t="s">
        <v>36</v>
      </c>
      <c r="H168" s="10" t="n">
        <v>6846</v>
      </c>
    </row>
    <row r="169" customFormat="false" ht="15" hidden="false" customHeight="true" outlineLevel="0" collapsed="false">
      <c r="A169" s="9" t="n">
        <v>45462</v>
      </c>
      <c r="B169" s="10" t="s">
        <v>4</v>
      </c>
      <c r="C169" s="10" t="s">
        <v>351</v>
      </c>
      <c r="D169" s="10" t="s">
        <v>54</v>
      </c>
      <c r="E169" s="11" t="s">
        <v>352</v>
      </c>
      <c r="F169" s="10" t="s">
        <v>11</v>
      </c>
      <c r="G169" s="10" t="s">
        <v>36</v>
      </c>
      <c r="H169" s="10" t="n">
        <v>6847</v>
      </c>
    </row>
    <row r="170" customFormat="false" ht="15" hidden="false" customHeight="true" outlineLevel="0" collapsed="false">
      <c r="A170" s="9" t="n">
        <v>45475</v>
      </c>
      <c r="B170" s="10" t="s">
        <v>4</v>
      </c>
      <c r="C170" s="10" t="s">
        <v>353</v>
      </c>
      <c r="D170" s="10" t="s">
        <v>38</v>
      </c>
      <c r="E170" s="11" t="s">
        <v>354</v>
      </c>
      <c r="F170" s="10" t="s">
        <v>8</v>
      </c>
      <c r="G170" s="10" t="s">
        <v>36</v>
      </c>
      <c r="H170" s="10" t="n">
        <v>6848</v>
      </c>
    </row>
    <row r="171" customFormat="false" ht="15" hidden="false" customHeight="true" outlineLevel="0" collapsed="false">
      <c r="A171" s="9" t="n">
        <v>45476</v>
      </c>
      <c r="B171" s="10" t="s">
        <v>4</v>
      </c>
      <c r="C171" s="10" t="s">
        <v>355</v>
      </c>
      <c r="D171" s="10" t="s">
        <v>43</v>
      </c>
      <c r="E171" s="11" t="s">
        <v>356</v>
      </c>
      <c r="F171" s="10" t="s">
        <v>12</v>
      </c>
      <c r="G171" s="10" t="s">
        <v>108</v>
      </c>
      <c r="H171" s="10" t="n">
        <v>6849</v>
      </c>
    </row>
    <row r="172" customFormat="false" ht="15" hidden="false" customHeight="true" outlineLevel="0" collapsed="false">
      <c r="A172" s="9" t="n">
        <v>45476</v>
      </c>
      <c r="B172" s="10" t="s">
        <v>4</v>
      </c>
      <c r="C172" s="10" t="s">
        <v>357</v>
      </c>
      <c r="D172" s="10" t="s">
        <v>38</v>
      </c>
      <c r="E172" s="11" t="s">
        <v>358</v>
      </c>
      <c r="F172" s="10" t="s">
        <v>8</v>
      </c>
      <c r="G172" s="10" t="s">
        <v>36</v>
      </c>
      <c r="H172" s="10" t="n">
        <v>6850</v>
      </c>
    </row>
    <row r="173" customFormat="false" ht="15" hidden="false" customHeight="true" outlineLevel="0" collapsed="false">
      <c r="A173" s="9" t="n">
        <v>45483</v>
      </c>
      <c r="B173" s="10" t="s">
        <v>4</v>
      </c>
      <c r="C173" s="10" t="s">
        <v>359</v>
      </c>
      <c r="D173" s="10" t="s">
        <v>54</v>
      </c>
      <c r="E173" s="11" t="s">
        <v>360</v>
      </c>
      <c r="F173" s="10" t="s">
        <v>11</v>
      </c>
      <c r="G173" s="10" t="s">
        <v>36</v>
      </c>
      <c r="H173" s="10" t="n">
        <v>6851</v>
      </c>
    </row>
    <row r="174" customFormat="false" ht="15" hidden="false" customHeight="true" outlineLevel="0" collapsed="false">
      <c r="A174" s="9" t="n">
        <v>45483</v>
      </c>
      <c r="B174" s="10" t="s">
        <v>4</v>
      </c>
      <c r="C174" s="10" t="s">
        <v>361</v>
      </c>
      <c r="D174" s="10" t="s">
        <v>54</v>
      </c>
      <c r="E174" s="11" t="s">
        <v>362</v>
      </c>
      <c r="F174" s="10" t="s">
        <v>11</v>
      </c>
      <c r="G174" s="10" t="s">
        <v>36</v>
      </c>
      <c r="H174" s="10" t="n">
        <v>6852</v>
      </c>
    </row>
    <row r="175" customFormat="false" ht="15" hidden="false" customHeight="true" outlineLevel="0" collapsed="false">
      <c r="A175" s="9" t="n">
        <v>45483</v>
      </c>
      <c r="B175" s="10" t="s">
        <v>4</v>
      </c>
      <c r="C175" s="10" t="s">
        <v>363</v>
      </c>
      <c r="D175" s="10" t="s">
        <v>54</v>
      </c>
      <c r="E175" s="11" t="s">
        <v>364</v>
      </c>
      <c r="F175" s="10" t="s">
        <v>12</v>
      </c>
      <c r="G175" s="10" t="s">
        <v>36</v>
      </c>
      <c r="H175" s="10" t="n">
        <v>6853</v>
      </c>
    </row>
    <row r="176" customFormat="false" ht="15" hidden="false" customHeight="true" outlineLevel="0" collapsed="false">
      <c r="A176" s="9" t="n">
        <v>45483</v>
      </c>
      <c r="B176" s="10" t="s">
        <v>4</v>
      </c>
      <c r="C176" s="10" t="s">
        <v>365</v>
      </c>
      <c r="D176" s="10" t="s">
        <v>54</v>
      </c>
      <c r="E176" s="11" t="s">
        <v>366</v>
      </c>
      <c r="F176" s="10" t="s">
        <v>11</v>
      </c>
      <c r="G176" s="10" t="s">
        <v>36</v>
      </c>
      <c r="H176" s="10" t="n">
        <v>6854</v>
      </c>
    </row>
    <row r="177" customFormat="false" ht="15" hidden="false" customHeight="true" outlineLevel="0" collapsed="false">
      <c r="A177" s="9" t="n">
        <v>45483</v>
      </c>
      <c r="B177" s="10" t="s">
        <v>4</v>
      </c>
      <c r="C177" s="10" t="s">
        <v>367</v>
      </c>
      <c r="D177" s="10" t="s">
        <v>54</v>
      </c>
      <c r="E177" s="11" t="s">
        <v>368</v>
      </c>
      <c r="F177" s="10" t="s">
        <v>11</v>
      </c>
      <c r="G177" s="10" t="s">
        <v>36</v>
      </c>
      <c r="H177" s="10" t="n">
        <v>6855</v>
      </c>
    </row>
    <row r="178" customFormat="false" ht="15" hidden="false" customHeight="true" outlineLevel="0" collapsed="false">
      <c r="A178" s="9" t="n">
        <v>45483</v>
      </c>
      <c r="B178" s="10" t="s">
        <v>4</v>
      </c>
      <c r="C178" s="10" t="s">
        <v>369</v>
      </c>
      <c r="D178" s="10" t="s">
        <v>54</v>
      </c>
      <c r="E178" s="11" t="s">
        <v>370</v>
      </c>
      <c r="F178" s="10" t="s">
        <v>11</v>
      </c>
      <c r="G178" s="10" t="s">
        <v>36</v>
      </c>
      <c r="H178" s="10" t="n">
        <v>6856</v>
      </c>
    </row>
    <row r="179" customFormat="false" ht="15" hidden="false" customHeight="true" outlineLevel="0" collapsed="false">
      <c r="A179" s="9" t="n">
        <v>45483</v>
      </c>
      <c r="B179" s="10" t="s">
        <v>4</v>
      </c>
      <c r="C179" s="10" t="s">
        <v>371</v>
      </c>
      <c r="D179" s="10" t="s">
        <v>54</v>
      </c>
      <c r="E179" s="11" t="s">
        <v>372</v>
      </c>
      <c r="F179" s="10" t="s">
        <v>11</v>
      </c>
      <c r="G179" s="10" t="s">
        <v>36</v>
      </c>
      <c r="H179" s="10" t="n">
        <v>6857</v>
      </c>
    </row>
    <row r="180" customFormat="false" ht="15" hidden="false" customHeight="true" outlineLevel="0" collapsed="false">
      <c r="A180" s="9" t="n">
        <v>45483</v>
      </c>
      <c r="B180" s="10" t="s">
        <v>4</v>
      </c>
      <c r="C180" s="10" t="s">
        <v>373</v>
      </c>
      <c r="D180" s="10" t="s">
        <v>54</v>
      </c>
      <c r="E180" s="11" t="s">
        <v>374</v>
      </c>
      <c r="F180" s="10" t="s">
        <v>11</v>
      </c>
      <c r="G180" s="10" t="s">
        <v>36</v>
      </c>
      <c r="H180" s="10" t="n">
        <v>6858</v>
      </c>
    </row>
    <row r="181" customFormat="false" ht="15" hidden="false" customHeight="true" outlineLevel="0" collapsed="false">
      <c r="A181" s="9" t="n">
        <v>45483</v>
      </c>
      <c r="B181" s="10" t="s">
        <v>4</v>
      </c>
      <c r="C181" s="10" t="s">
        <v>375</v>
      </c>
      <c r="D181" s="10" t="s">
        <v>54</v>
      </c>
      <c r="E181" s="11" t="s">
        <v>376</v>
      </c>
      <c r="F181" s="10" t="s">
        <v>11</v>
      </c>
      <c r="G181" s="10" t="s">
        <v>36</v>
      </c>
      <c r="H181" s="10" t="n">
        <v>6859</v>
      </c>
    </row>
    <row r="182" customFormat="false" ht="15" hidden="false" customHeight="true" outlineLevel="0" collapsed="false">
      <c r="A182" s="9" t="n">
        <v>45483</v>
      </c>
      <c r="B182" s="10" t="s">
        <v>4</v>
      </c>
      <c r="C182" s="10" t="s">
        <v>377</v>
      </c>
      <c r="D182" s="10" t="s">
        <v>54</v>
      </c>
      <c r="E182" s="11" t="s">
        <v>378</v>
      </c>
      <c r="F182" s="10" t="s">
        <v>12</v>
      </c>
      <c r="G182" s="10" t="s">
        <v>36</v>
      </c>
      <c r="H182" s="10" t="n">
        <v>6860</v>
      </c>
    </row>
    <row r="183" customFormat="false" ht="15" hidden="false" customHeight="true" outlineLevel="0" collapsed="false">
      <c r="A183" s="9" t="n">
        <v>45483</v>
      </c>
      <c r="B183" s="10" t="s">
        <v>4</v>
      </c>
      <c r="C183" s="10" t="s">
        <v>379</v>
      </c>
      <c r="D183" s="10" t="s">
        <v>54</v>
      </c>
      <c r="E183" s="11" t="s">
        <v>380</v>
      </c>
      <c r="F183" s="10" t="s">
        <v>12</v>
      </c>
      <c r="G183" s="10" t="s">
        <v>36</v>
      </c>
      <c r="H183" s="10" t="n">
        <v>6861</v>
      </c>
    </row>
    <row r="184" customFormat="false" ht="15" hidden="false" customHeight="true" outlineLevel="0" collapsed="false">
      <c r="A184" s="9" t="n">
        <v>45517</v>
      </c>
      <c r="B184" s="10" t="s">
        <v>4</v>
      </c>
      <c r="C184" s="10" t="s">
        <v>381</v>
      </c>
      <c r="D184" s="10" t="s">
        <v>43</v>
      </c>
      <c r="E184" s="11" t="s">
        <v>382</v>
      </c>
      <c r="F184" s="10" t="s">
        <v>8</v>
      </c>
      <c r="G184" s="10" t="s">
        <v>108</v>
      </c>
      <c r="H184" s="10" t="n">
        <v>6862</v>
      </c>
    </row>
    <row r="185" customFormat="false" ht="15" hidden="false" customHeight="true" outlineLevel="0" collapsed="false">
      <c r="A185" s="9" t="n">
        <v>45518</v>
      </c>
      <c r="B185" s="10" t="s">
        <v>4</v>
      </c>
      <c r="C185" s="10" t="s">
        <v>383</v>
      </c>
      <c r="D185" s="10" t="s">
        <v>38</v>
      </c>
      <c r="E185" s="11" t="s">
        <v>384</v>
      </c>
      <c r="F185" s="10" t="s">
        <v>8</v>
      </c>
      <c r="G185" s="10" t="s">
        <v>36</v>
      </c>
      <c r="H185" s="10" t="n">
        <v>6863</v>
      </c>
    </row>
    <row r="186" customFormat="false" ht="15" hidden="false" customHeight="true" outlineLevel="0" collapsed="false">
      <c r="A186" s="9" t="n">
        <v>45518</v>
      </c>
      <c r="B186" s="10" t="s">
        <v>4</v>
      </c>
      <c r="C186" s="10" t="s">
        <v>385</v>
      </c>
      <c r="D186" s="10" t="s">
        <v>54</v>
      </c>
      <c r="E186" s="11" t="s">
        <v>386</v>
      </c>
      <c r="F186" s="10" t="s">
        <v>12</v>
      </c>
      <c r="G186" s="10" t="s">
        <v>36</v>
      </c>
      <c r="H186" s="10" t="n">
        <v>6864</v>
      </c>
    </row>
    <row r="187" customFormat="false" ht="15" hidden="false" customHeight="true" outlineLevel="0" collapsed="false">
      <c r="A187" s="9" t="n">
        <v>45518</v>
      </c>
      <c r="B187" s="10" t="s">
        <v>4</v>
      </c>
      <c r="C187" s="10" t="s">
        <v>387</v>
      </c>
      <c r="D187" s="10" t="s">
        <v>54</v>
      </c>
      <c r="E187" s="11" t="s">
        <v>388</v>
      </c>
      <c r="F187" s="10" t="s">
        <v>11</v>
      </c>
      <c r="G187" s="10" t="s">
        <v>36</v>
      </c>
      <c r="H187" s="10" t="n">
        <v>6865</v>
      </c>
    </row>
    <row r="188" customFormat="false" ht="15" hidden="false" customHeight="true" outlineLevel="0" collapsed="false">
      <c r="A188" s="9" t="n">
        <v>45518</v>
      </c>
      <c r="B188" s="10" t="s">
        <v>4</v>
      </c>
      <c r="C188" s="10" t="s">
        <v>389</v>
      </c>
      <c r="D188" s="10" t="s">
        <v>54</v>
      </c>
      <c r="E188" s="11" t="s">
        <v>390</v>
      </c>
      <c r="F188" s="10" t="s">
        <v>11</v>
      </c>
      <c r="G188" s="10" t="s">
        <v>36</v>
      </c>
      <c r="H188" s="10" t="n">
        <v>6866</v>
      </c>
    </row>
    <row r="189" customFormat="false" ht="15" hidden="false" customHeight="true" outlineLevel="0" collapsed="false">
      <c r="A189" s="9" t="n">
        <v>45518</v>
      </c>
      <c r="B189" s="10" t="s">
        <v>4</v>
      </c>
      <c r="C189" s="10" t="s">
        <v>391</v>
      </c>
      <c r="D189" s="10" t="s">
        <v>50</v>
      </c>
      <c r="E189" s="11" t="s">
        <v>392</v>
      </c>
      <c r="F189" s="10" t="s">
        <v>8</v>
      </c>
      <c r="G189" s="10" t="s">
        <v>36</v>
      </c>
      <c r="H189" s="10" t="n">
        <v>6867</v>
      </c>
    </row>
    <row r="190" customFormat="false" ht="15" hidden="false" customHeight="true" outlineLevel="0" collapsed="false">
      <c r="A190" s="9" t="n">
        <v>45518</v>
      </c>
      <c r="B190" s="10" t="s">
        <v>4</v>
      </c>
      <c r="C190" s="10" t="s">
        <v>391</v>
      </c>
      <c r="D190" s="10" t="s">
        <v>50</v>
      </c>
      <c r="E190" s="11" t="s">
        <v>393</v>
      </c>
      <c r="F190" s="10" t="s">
        <v>8</v>
      </c>
      <c r="G190" s="10" t="s">
        <v>36</v>
      </c>
      <c r="H190" s="10" t="n">
        <v>6868</v>
      </c>
    </row>
    <row r="191" customFormat="false" ht="15" hidden="false" customHeight="true" outlineLevel="0" collapsed="false">
      <c r="A191" s="9" t="n">
        <v>45518</v>
      </c>
      <c r="B191" s="10" t="s">
        <v>4</v>
      </c>
      <c r="C191" s="10" t="s">
        <v>394</v>
      </c>
      <c r="D191" s="10" t="s">
        <v>50</v>
      </c>
      <c r="E191" s="11" t="s">
        <v>395</v>
      </c>
      <c r="F191" s="10" t="s">
        <v>8</v>
      </c>
      <c r="G191" s="10" t="s">
        <v>36</v>
      </c>
      <c r="H191" s="10" t="n">
        <v>6869</v>
      </c>
    </row>
    <row r="192" customFormat="false" ht="15" hidden="false" customHeight="true" outlineLevel="0" collapsed="false">
      <c r="A192" s="9" t="n">
        <v>45518</v>
      </c>
      <c r="B192" s="10" t="s">
        <v>4</v>
      </c>
      <c r="C192" s="10" t="s">
        <v>394</v>
      </c>
      <c r="D192" s="10" t="s">
        <v>50</v>
      </c>
      <c r="E192" s="11" t="s">
        <v>396</v>
      </c>
      <c r="F192" s="10" t="s">
        <v>8</v>
      </c>
      <c r="G192" s="10" t="s">
        <v>36</v>
      </c>
      <c r="H192" s="10" t="n">
        <v>6870</v>
      </c>
    </row>
    <row r="193" customFormat="false" ht="15" hidden="false" customHeight="true" outlineLevel="0" collapsed="false">
      <c r="A193" s="9" t="n">
        <v>45518</v>
      </c>
      <c r="B193" s="10" t="s">
        <v>4</v>
      </c>
      <c r="C193" s="10" t="s">
        <v>397</v>
      </c>
      <c r="D193" s="10" t="s">
        <v>50</v>
      </c>
      <c r="E193" s="11" t="s">
        <v>398</v>
      </c>
      <c r="F193" s="10" t="s">
        <v>8</v>
      </c>
      <c r="G193" s="10" t="s">
        <v>36</v>
      </c>
      <c r="H193" s="10" t="n">
        <v>6873</v>
      </c>
    </row>
    <row r="194" customFormat="false" ht="15" hidden="false" customHeight="true" outlineLevel="0" collapsed="false">
      <c r="A194" s="9" t="n">
        <v>45518</v>
      </c>
      <c r="B194" s="10" t="s">
        <v>4</v>
      </c>
      <c r="C194" s="10" t="s">
        <v>397</v>
      </c>
      <c r="D194" s="10" t="s">
        <v>50</v>
      </c>
      <c r="E194" s="11" t="s">
        <v>399</v>
      </c>
      <c r="F194" s="10" t="s">
        <v>8</v>
      </c>
      <c r="G194" s="10" t="s">
        <v>36</v>
      </c>
      <c r="H194" s="10" t="n">
        <v>6874</v>
      </c>
    </row>
    <row r="195" customFormat="false" ht="15" hidden="false" customHeight="true" outlineLevel="0" collapsed="false">
      <c r="A195" s="9" t="n">
        <v>45539</v>
      </c>
      <c r="B195" s="10" t="s">
        <v>4</v>
      </c>
      <c r="C195" s="10" t="s">
        <v>400</v>
      </c>
      <c r="D195" s="10" t="s">
        <v>43</v>
      </c>
      <c r="E195" s="11" t="s">
        <v>401</v>
      </c>
      <c r="F195" s="10" t="s">
        <v>8</v>
      </c>
      <c r="G195" s="10" t="s">
        <v>36</v>
      </c>
      <c r="H195" s="10" t="n">
        <v>6875</v>
      </c>
    </row>
    <row r="196" customFormat="false" ht="15" hidden="false" customHeight="true" outlineLevel="0" collapsed="false">
      <c r="A196" s="9" t="n">
        <v>45573</v>
      </c>
      <c r="B196" s="10" t="s">
        <v>4</v>
      </c>
      <c r="C196" s="10" t="s">
        <v>402</v>
      </c>
      <c r="D196" s="10" t="s">
        <v>54</v>
      </c>
      <c r="E196" s="11" t="s">
        <v>135</v>
      </c>
      <c r="F196" s="10" t="s">
        <v>11</v>
      </c>
      <c r="G196" s="10" t="s">
        <v>36</v>
      </c>
      <c r="H196" s="10" t="n">
        <v>6876</v>
      </c>
    </row>
    <row r="197" customFormat="false" ht="15" hidden="false" customHeight="true" outlineLevel="0" collapsed="false">
      <c r="A197" s="9" t="n">
        <v>45608</v>
      </c>
      <c r="B197" s="10" t="s">
        <v>4</v>
      </c>
      <c r="C197" s="10" t="s">
        <v>403</v>
      </c>
      <c r="D197" s="10" t="s">
        <v>43</v>
      </c>
      <c r="E197" s="11" t="s">
        <v>404</v>
      </c>
      <c r="F197" s="10" t="s">
        <v>8</v>
      </c>
      <c r="G197" s="10" t="s">
        <v>36</v>
      </c>
      <c r="H197" s="10" t="n">
        <v>6877</v>
      </c>
    </row>
    <row r="198" customFormat="false" ht="15" hidden="false" customHeight="true" outlineLevel="0" collapsed="false">
      <c r="A198" s="9" t="n">
        <v>45608</v>
      </c>
      <c r="B198" s="10" t="s">
        <v>4</v>
      </c>
      <c r="C198" s="10" t="s">
        <v>405</v>
      </c>
      <c r="D198" s="10" t="s">
        <v>38</v>
      </c>
      <c r="E198" s="11" t="s">
        <v>406</v>
      </c>
      <c r="F198" s="10" t="s">
        <v>9</v>
      </c>
      <c r="G198" s="10" t="s">
        <v>36</v>
      </c>
      <c r="H198" s="10" t="n">
        <v>6878</v>
      </c>
    </row>
    <row r="199" customFormat="false" ht="15" hidden="false" customHeight="true" outlineLevel="0" collapsed="false">
      <c r="A199" s="9" t="n">
        <v>45614</v>
      </c>
      <c r="B199" s="10" t="s">
        <v>4</v>
      </c>
      <c r="C199" s="10" t="s">
        <v>405</v>
      </c>
      <c r="D199" s="10" t="s">
        <v>38</v>
      </c>
      <c r="E199" s="11" t="s">
        <v>407</v>
      </c>
      <c r="F199" s="10" t="s">
        <v>9</v>
      </c>
      <c r="G199" s="10" t="s">
        <v>108</v>
      </c>
      <c r="H199" s="10" t="n">
        <v>6879</v>
      </c>
    </row>
    <row r="200" customFormat="false" ht="15" hidden="false" customHeight="true" outlineLevel="0" collapsed="false">
      <c r="A200" s="9" t="n">
        <v>45614</v>
      </c>
      <c r="B200" s="10" t="s">
        <v>4</v>
      </c>
      <c r="C200" s="10" t="s">
        <v>405</v>
      </c>
      <c r="D200" s="10" t="s">
        <v>38</v>
      </c>
      <c r="E200" s="11" t="s">
        <v>408</v>
      </c>
      <c r="F200" s="10" t="s">
        <v>9</v>
      </c>
      <c r="G200" s="10" t="s">
        <v>108</v>
      </c>
      <c r="H200" s="10" t="n">
        <v>6880</v>
      </c>
    </row>
    <row r="201" customFormat="false" ht="15" hidden="false" customHeight="true" outlineLevel="0" collapsed="false">
      <c r="A201" s="9" t="n">
        <v>45614</v>
      </c>
      <c r="B201" s="10" t="s">
        <v>4</v>
      </c>
      <c r="C201" s="10" t="s">
        <v>405</v>
      </c>
      <c r="D201" s="10" t="s">
        <v>38</v>
      </c>
      <c r="E201" s="11" t="s">
        <v>409</v>
      </c>
      <c r="F201" s="10" t="s">
        <v>8</v>
      </c>
      <c r="G201" s="10" t="s">
        <v>36</v>
      </c>
      <c r="H201" s="10" t="n">
        <v>6881</v>
      </c>
    </row>
    <row r="202" customFormat="false" ht="15" hidden="false" customHeight="true" outlineLevel="0" collapsed="false">
      <c r="A202" s="9" t="n">
        <v>45623</v>
      </c>
      <c r="B202" s="10" t="s">
        <v>4</v>
      </c>
      <c r="C202" s="10" t="s">
        <v>410</v>
      </c>
      <c r="D202" s="10" t="s">
        <v>38</v>
      </c>
      <c r="E202" s="11" t="s">
        <v>411</v>
      </c>
      <c r="F202" s="10" t="s">
        <v>8</v>
      </c>
      <c r="G202" s="10" t="s">
        <v>36</v>
      </c>
      <c r="H202" s="10" t="n">
        <v>6882</v>
      </c>
    </row>
    <row r="203" customFormat="false" ht="15" hidden="false" customHeight="true" outlineLevel="0" collapsed="false">
      <c r="A203" s="9" t="n">
        <v>45636</v>
      </c>
      <c r="B203" s="10" t="s">
        <v>4</v>
      </c>
      <c r="C203" s="10" t="s">
        <v>412</v>
      </c>
      <c r="D203" s="10" t="s">
        <v>54</v>
      </c>
      <c r="E203" s="11" t="s">
        <v>413</v>
      </c>
      <c r="F203" s="10" t="s">
        <v>11</v>
      </c>
      <c r="G203" s="10" t="s">
        <v>36</v>
      </c>
      <c r="H203" s="10" t="n">
        <v>6883</v>
      </c>
    </row>
    <row r="204" customFormat="false" ht="15" hidden="false" customHeight="true" outlineLevel="0" collapsed="false">
      <c r="A204" s="9" t="n">
        <v>45636</v>
      </c>
      <c r="B204" s="10" t="s">
        <v>4</v>
      </c>
      <c r="C204" s="10" t="s">
        <v>414</v>
      </c>
      <c r="D204" s="10" t="s">
        <v>54</v>
      </c>
      <c r="E204" s="11" t="s">
        <v>415</v>
      </c>
      <c r="F204" s="10" t="s">
        <v>11</v>
      </c>
      <c r="G204" s="10" t="s">
        <v>36</v>
      </c>
      <c r="H204" s="10" t="n">
        <v>6884</v>
      </c>
    </row>
    <row r="205" customFormat="false" ht="15" hidden="false" customHeight="true" outlineLevel="0" collapsed="false">
      <c r="A205" s="9" t="n">
        <v>45636</v>
      </c>
      <c r="B205" s="10" t="s">
        <v>4</v>
      </c>
      <c r="C205" s="10" t="s">
        <v>416</v>
      </c>
      <c r="D205" s="10" t="s">
        <v>54</v>
      </c>
      <c r="E205" s="11" t="s">
        <v>417</v>
      </c>
      <c r="F205" s="10" t="s">
        <v>11</v>
      </c>
      <c r="G205" s="10" t="s">
        <v>36</v>
      </c>
      <c r="H205" s="10" t="n">
        <v>6885</v>
      </c>
    </row>
    <row r="206" customFormat="false" ht="15" hidden="false" customHeight="true" outlineLevel="0" collapsed="false">
      <c r="A206" s="9" t="n">
        <v>45636</v>
      </c>
      <c r="B206" s="10" t="s">
        <v>4</v>
      </c>
      <c r="C206" s="10" t="s">
        <v>418</v>
      </c>
      <c r="D206" s="10" t="s">
        <v>54</v>
      </c>
      <c r="E206" s="11" t="s">
        <v>419</v>
      </c>
      <c r="F206" s="10" t="s">
        <v>11</v>
      </c>
      <c r="G206" s="10" t="s">
        <v>36</v>
      </c>
      <c r="H206" s="10" t="n">
        <v>6886</v>
      </c>
    </row>
    <row r="207" customFormat="false" ht="15" hidden="false" customHeight="true" outlineLevel="0" collapsed="false">
      <c r="A207" s="9" t="n">
        <v>45636</v>
      </c>
      <c r="B207" s="10" t="s">
        <v>4</v>
      </c>
      <c r="C207" s="10" t="s">
        <v>420</v>
      </c>
      <c r="D207" s="10" t="s">
        <v>54</v>
      </c>
      <c r="E207" s="11" t="s">
        <v>421</v>
      </c>
      <c r="F207" s="10" t="s">
        <v>11</v>
      </c>
      <c r="G207" s="10" t="s">
        <v>36</v>
      </c>
      <c r="H207" s="10" t="n">
        <v>6887</v>
      </c>
    </row>
    <row r="208" customFormat="false" ht="15" hidden="false" customHeight="true" outlineLevel="0" collapsed="false">
      <c r="A208" s="9" t="n">
        <v>45636</v>
      </c>
      <c r="B208" s="10" t="s">
        <v>4</v>
      </c>
      <c r="C208" s="10" t="s">
        <v>422</v>
      </c>
      <c r="D208" s="10" t="s">
        <v>54</v>
      </c>
      <c r="E208" s="11" t="s">
        <v>423</v>
      </c>
      <c r="F208" s="10" t="s">
        <v>11</v>
      </c>
      <c r="G208" s="10" t="s">
        <v>36</v>
      </c>
      <c r="H208" s="10" t="n">
        <v>6888</v>
      </c>
    </row>
    <row r="209" customFormat="false" ht="15" hidden="false" customHeight="true" outlineLevel="0" collapsed="false">
      <c r="A209" s="9" t="n">
        <v>45636</v>
      </c>
      <c r="B209" s="10" t="s">
        <v>4</v>
      </c>
      <c r="C209" s="10" t="s">
        <v>424</v>
      </c>
      <c r="D209" s="10" t="s">
        <v>54</v>
      </c>
      <c r="E209" s="11" t="s">
        <v>425</v>
      </c>
      <c r="F209" s="10" t="s">
        <v>12</v>
      </c>
      <c r="G209" s="10" t="s">
        <v>36</v>
      </c>
      <c r="H209" s="10" t="n">
        <v>6889</v>
      </c>
    </row>
    <row r="210" customFormat="false" ht="15" hidden="false" customHeight="true" outlineLevel="0" collapsed="false">
      <c r="A210" s="9" t="n">
        <v>45636</v>
      </c>
      <c r="B210" s="10" t="s">
        <v>4</v>
      </c>
      <c r="C210" s="10" t="s">
        <v>426</v>
      </c>
      <c r="D210" s="10" t="s">
        <v>54</v>
      </c>
      <c r="E210" s="11" t="s">
        <v>427</v>
      </c>
      <c r="F210" s="10" t="s">
        <v>11</v>
      </c>
      <c r="G210" s="10" t="s">
        <v>36</v>
      </c>
      <c r="H210" s="10" t="n">
        <v>6890</v>
      </c>
    </row>
    <row r="211" customFormat="false" ht="15" hidden="false" customHeight="true" outlineLevel="0" collapsed="false">
      <c r="A211" s="9" t="n">
        <v>45636</v>
      </c>
      <c r="B211" s="10" t="s">
        <v>4</v>
      </c>
      <c r="C211" s="10" t="s">
        <v>428</v>
      </c>
      <c r="D211" s="10" t="s">
        <v>54</v>
      </c>
      <c r="E211" s="11" t="s">
        <v>429</v>
      </c>
      <c r="F211" s="10" t="s">
        <v>11</v>
      </c>
      <c r="G211" s="10" t="s">
        <v>36</v>
      </c>
      <c r="H211" s="10" t="n">
        <v>6891</v>
      </c>
    </row>
    <row r="212" customFormat="false" ht="15" hidden="false" customHeight="true" outlineLevel="0" collapsed="false">
      <c r="A212" s="9" t="n">
        <v>45636</v>
      </c>
      <c r="B212" s="10" t="s">
        <v>4</v>
      </c>
      <c r="C212" s="10" t="s">
        <v>430</v>
      </c>
      <c r="D212" s="10" t="s">
        <v>54</v>
      </c>
      <c r="E212" s="11" t="s">
        <v>431</v>
      </c>
      <c r="F212" s="10" t="s">
        <v>11</v>
      </c>
      <c r="G212" s="10" t="s">
        <v>36</v>
      </c>
      <c r="H212" s="10" t="n">
        <v>6892</v>
      </c>
    </row>
    <row r="213" customFormat="false" ht="15" hidden="false" customHeight="true" outlineLevel="0" collapsed="false">
      <c r="A213" s="9" t="n">
        <v>45638</v>
      </c>
      <c r="B213" s="10" t="s">
        <v>4</v>
      </c>
      <c r="C213" s="10" t="s">
        <v>432</v>
      </c>
      <c r="D213" s="10" t="s">
        <v>54</v>
      </c>
      <c r="E213" s="11" t="s">
        <v>433</v>
      </c>
      <c r="F213" s="10" t="s">
        <v>11</v>
      </c>
      <c r="G213" s="10" t="s">
        <v>36</v>
      </c>
      <c r="H213" s="10" t="n">
        <v>6893</v>
      </c>
    </row>
    <row r="214" customFormat="false" ht="15" hidden="false" customHeight="true" outlineLevel="0" collapsed="false">
      <c r="A214" s="9" t="n">
        <v>45638</v>
      </c>
      <c r="B214" s="10" t="s">
        <v>4</v>
      </c>
      <c r="C214" s="10" t="s">
        <v>434</v>
      </c>
      <c r="D214" s="10" t="s">
        <v>54</v>
      </c>
      <c r="E214" s="11" t="s">
        <v>435</v>
      </c>
      <c r="F214" s="10" t="s">
        <v>11</v>
      </c>
      <c r="G214" s="10" t="s">
        <v>36</v>
      </c>
      <c r="H214" s="10" t="n">
        <v>6894</v>
      </c>
    </row>
    <row r="215" customFormat="false" ht="15" hidden="false" customHeight="true" outlineLevel="0" collapsed="false">
      <c r="A215" s="9" t="n">
        <v>45638</v>
      </c>
      <c r="B215" s="10" t="s">
        <v>4</v>
      </c>
      <c r="C215" s="10" t="s">
        <v>436</v>
      </c>
      <c r="D215" s="10" t="s">
        <v>54</v>
      </c>
      <c r="E215" s="11" t="s">
        <v>437</v>
      </c>
      <c r="F215" s="10" t="s">
        <v>11</v>
      </c>
      <c r="G215" s="10" t="s">
        <v>36</v>
      </c>
      <c r="H215" s="10" t="n">
        <v>6895</v>
      </c>
    </row>
    <row r="216" customFormat="false" ht="15" hidden="false" customHeight="true" outlineLevel="0" collapsed="false">
      <c r="A216" s="9" t="n">
        <v>45638</v>
      </c>
      <c r="B216" s="10" t="s">
        <v>4</v>
      </c>
      <c r="C216" s="10" t="s">
        <v>438</v>
      </c>
      <c r="D216" s="10" t="s">
        <v>54</v>
      </c>
      <c r="E216" s="11" t="s">
        <v>439</v>
      </c>
      <c r="F216" s="10" t="s">
        <v>11</v>
      </c>
      <c r="G216" s="10" t="s">
        <v>36</v>
      </c>
      <c r="H216" s="10" t="n">
        <v>6896</v>
      </c>
    </row>
    <row r="217" customFormat="false" ht="15" hidden="false" customHeight="true" outlineLevel="0" collapsed="false">
      <c r="A217" s="9" t="n">
        <v>45638</v>
      </c>
      <c r="B217" s="10" t="s">
        <v>4</v>
      </c>
      <c r="C217" s="10" t="s">
        <v>440</v>
      </c>
      <c r="D217" s="10" t="s">
        <v>54</v>
      </c>
      <c r="E217" s="11" t="s">
        <v>441</v>
      </c>
      <c r="F217" s="10" t="s">
        <v>11</v>
      </c>
      <c r="G217" s="10" t="s">
        <v>36</v>
      </c>
      <c r="H217" s="10" t="n">
        <v>6897</v>
      </c>
    </row>
    <row r="218" customFormat="false" ht="15" hidden="false" customHeight="true" outlineLevel="0" collapsed="false">
      <c r="A218" s="9" t="n">
        <v>45638</v>
      </c>
      <c r="B218" s="10" t="s">
        <v>4</v>
      </c>
      <c r="C218" s="10" t="s">
        <v>442</v>
      </c>
      <c r="D218" s="10" t="s">
        <v>43</v>
      </c>
      <c r="E218" s="11" t="s">
        <v>443</v>
      </c>
      <c r="F218" s="10" t="s">
        <v>8</v>
      </c>
      <c r="G218" s="10" t="s">
        <v>36</v>
      </c>
      <c r="H218" s="10" t="n">
        <v>6898</v>
      </c>
    </row>
    <row r="219" customFormat="false" ht="15" hidden="false" customHeight="true" outlineLevel="0" collapsed="false">
      <c r="A219" s="9" t="n">
        <v>45638</v>
      </c>
      <c r="B219" s="10" t="s">
        <v>4</v>
      </c>
      <c r="C219" s="10" t="s">
        <v>444</v>
      </c>
      <c r="D219" s="10" t="s">
        <v>38</v>
      </c>
      <c r="E219" s="11" t="s">
        <v>445</v>
      </c>
      <c r="F219" s="10" t="s">
        <v>9</v>
      </c>
      <c r="G219" s="10" t="s">
        <v>36</v>
      </c>
      <c r="H219" s="10" t="n">
        <v>6899</v>
      </c>
    </row>
    <row r="220" customFormat="false" ht="15" hidden="false" customHeight="true" outlineLevel="0" collapsed="false">
      <c r="A220" s="9" t="n">
        <v>45638</v>
      </c>
      <c r="B220" s="10" t="s">
        <v>4</v>
      </c>
      <c r="C220" s="10" t="s">
        <v>444</v>
      </c>
      <c r="D220" s="10" t="s">
        <v>38</v>
      </c>
      <c r="E220" s="11" t="s">
        <v>446</v>
      </c>
      <c r="F220" s="10" t="s">
        <v>9</v>
      </c>
      <c r="G220" s="10" t="s">
        <v>108</v>
      </c>
      <c r="H220" s="10" t="n">
        <v>6900</v>
      </c>
    </row>
    <row r="221" customFormat="false" ht="15" hidden="false" customHeight="true" outlineLevel="0" collapsed="false">
      <c r="A221" s="9" t="n">
        <v>45638</v>
      </c>
      <c r="B221" s="10" t="s">
        <v>4</v>
      </c>
      <c r="C221" s="10" t="s">
        <v>444</v>
      </c>
      <c r="D221" s="10" t="s">
        <v>38</v>
      </c>
      <c r="E221" s="11" t="s">
        <v>447</v>
      </c>
      <c r="F221" s="10" t="s">
        <v>8</v>
      </c>
      <c r="G221" s="10" t="s">
        <v>108</v>
      </c>
      <c r="H221" s="10" t="n">
        <v>6901</v>
      </c>
    </row>
    <row r="222" customFormat="false" ht="15" hidden="false" customHeight="true" outlineLevel="0" collapsed="false">
      <c r="A222" s="9" t="n">
        <v>45638</v>
      </c>
      <c r="B222" s="10" t="s">
        <v>4</v>
      </c>
      <c r="C222" s="10" t="s">
        <v>444</v>
      </c>
      <c r="D222" s="10" t="s">
        <v>38</v>
      </c>
      <c r="E222" s="11" t="s">
        <v>448</v>
      </c>
      <c r="F222" s="10" t="s">
        <v>8</v>
      </c>
      <c r="G222" s="10" t="s">
        <v>108</v>
      </c>
      <c r="H222" s="10" t="n">
        <v>6902</v>
      </c>
    </row>
    <row r="223" customFormat="false" ht="15" hidden="false" customHeight="true" outlineLevel="0" collapsed="false">
      <c r="A223" s="9" t="n">
        <v>45643</v>
      </c>
      <c r="B223" s="10" t="s">
        <v>4</v>
      </c>
      <c r="C223" s="10" t="s">
        <v>449</v>
      </c>
      <c r="D223" s="10" t="s">
        <v>50</v>
      </c>
      <c r="E223" s="11" t="s">
        <v>450</v>
      </c>
      <c r="F223" s="10" t="s">
        <v>8</v>
      </c>
      <c r="G223" s="10" t="s">
        <v>36</v>
      </c>
      <c r="H223" s="10" t="n">
        <v>6903</v>
      </c>
    </row>
    <row r="224" customFormat="false" ht="15" hidden="false" customHeight="true" outlineLevel="0" collapsed="false">
      <c r="A224" s="9" t="n">
        <v>45643</v>
      </c>
      <c r="B224" s="10" t="s">
        <v>4</v>
      </c>
      <c r="C224" s="10" t="s">
        <v>449</v>
      </c>
      <c r="D224" s="10" t="s">
        <v>50</v>
      </c>
      <c r="E224" s="11" t="s">
        <v>451</v>
      </c>
      <c r="F224" s="10" t="s">
        <v>8</v>
      </c>
      <c r="G224" s="10" t="s">
        <v>36</v>
      </c>
      <c r="H224" s="10" t="n">
        <v>6904</v>
      </c>
    </row>
    <row r="225" customFormat="false" ht="15" hidden="false" customHeight="true" outlineLevel="0" collapsed="false">
      <c r="A225" s="9" t="n">
        <v>45643</v>
      </c>
      <c r="B225" s="10" t="s">
        <v>4</v>
      </c>
      <c r="C225" s="10" t="s">
        <v>452</v>
      </c>
      <c r="D225" s="10" t="s">
        <v>38</v>
      </c>
      <c r="E225" s="11" t="s">
        <v>453</v>
      </c>
      <c r="F225" s="10" t="s">
        <v>8</v>
      </c>
      <c r="G225" s="10" t="s">
        <v>36</v>
      </c>
      <c r="H225" s="10" t="n">
        <v>6905</v>
      </c>
    </row>
    <row r="226" customFormat="false" ht="15" hidden="false" customHeight="true" outlineLevel="0" collapsed="false">
      <c r="A226" s="9" t="n">
        <v>45643</v>
      </c>
      <c r="B226" s="10" t="s">
        <v>4</v>
      </c>
      <c r="C226" s="10" t="s">
        <v>454</v>
      </c>
      <c r="D226" s="10" t="s">
        <v>38</v>
      </c>
      <c r="E226" s="11" t="s">
        <v>455</v>
      </c>
      <c r="F226" s="10" t="s">
        <v>8</v>
      </c>
      <c r="G226" s="10" t="s">
        <v>36</v>
      </c>
      <c r="H226" s="10" t="n">
        <v>6906</v>
      </c>
    </row>
    <row r="227" customFormat="false" ht="15" hidden="false" customHeight="true" outlineLevel="0" collapsed="false">
      <c r="A227" s="9" t="n">
        <v>45644</v>
      </c>
      <c r="B227" s="10" t="s">
        <v>4</v>
      </c>
      <c r="C227" s="10" t="s">
        <v>456</v>
      </c>
      <c r="D227" s="10" t="s">
        <v>38</v>
      </c>
      <c r="E227" s="11" t="s">
        <v>457</v>
      </c>
      <c r="F227" s="10" t="s">
        <v>8</v>
      </c>
      <c r="G227" s="10" t="s">
        <v>36</v>
      </c>
      <c r="H227" s="10" t="n">
        <v>6907</v>
      </c>
    </row>
    <row r="228" customFormat="false" ht="15" hidden="false" customHeight="true" outlineLevel="0" collapsed="false">
      <c r="A228" s="9" t="n">
        <v>45644</v>
      </c>
      <c r="B228" s="10" t="s">
        <v>4</v>
      </c>
      <c r="C228" s="10" t="s">
        <v>458</v>
      </c>
      <c r="D228" s="10" t="s">
        <v>38</v>
      </c>
      <c r="E228" s="11" t="s">
        <v>459</v>
      </c>
      <c r="F228" s="10" t="s">
        <v>8</v>
      </c>
      <c r="G228" s="10" t="s">
        <v>36</v>
      </c>
      <c r="H228" s="10" t="n">
        <v>6908</v>
      </c>
    </row>
    <row r="229" customFormat="false" ht="15" hidden="false" customHeight="true" outlineLevel="0" collapsed="false">
      <c r="A229" s="9" t="n">
        <v>45644</v>
      </c>
      <c r="B229" s="10" t="s">
        <v>4</v>
      </c>
      <c r="C229" s="10" t="s">
        <v>460</v>
      </c>
      <c r="D229" s="10" t="s">
        <v>43</v>
      </c>
      <c r="E229" s="11" t="s">
        <v>461</v>
      </c>
      <c r="F229" s="10" t="s">
        <v>12</v>
      </c>
      <c r="G229" s="10" t="s">
        <v>108</v>
      </c>
      <c r="H229" s="10" t="n">
        <v>6909</v>
      </c>
    </row>
    <row r="230" customFormat="false" ht="15" hidden="false" customHeight="true" outlineLevel="0" collapsed="false">
      <c r="A230" s="9" t="n">
        <v>45645</v>
      </c>
      <c r="B230" s="10" t="s">
        <v>4</v>
      </c>
      <c r="C230" s="10" t="s">
        <v>462</v>
      </c>
      <c r="D230" s="10" t="s">
        <v>38</v>
      </c>
      <c r="E230" s="11" t="s">
        <v>463</v>
      </c>
      <c r="F230" s="10" t="s">
        <v>8</v>
      </c>
      <c r="G230" s="10" t="s">
        <v>36</v>
      </c>
      <c r="H230" s="10" t="n">
        <v>6910</v>
      </c>
    </row>
    <row r="231" customFormat="false" ht="15" hidden="false" customHeight="true" outlineLevel="0" collapsed="false">
      <c r="A231" s="9" t="n">
        <v>45645</v>
      </c>
      <c r="B231" s="10" t="s">
        <v>4</v>
      </c>
      <c r="C231" s="10" t="s">
        <v>462</v>
      </c>
      <c r="D231" s="10" t="s">
        <v>38</v>
      </c>
      <c r="E231" s="11" t="s">
        <v>464</v>
      </c>
      <c r="F231" s="10" t="s">
        <v>8</v>
      </c>
      <c r="G231" s="10" t="s">
        <v>108</v>
      </c>
      <c r="H231" s="10" t="n">
        <v>6911</v>
      </c>
    </row>
    <row r="232" customFormat="false" ht="15" hidden="false" customHeight="true" outlineLevel="0" collapsed="false">
      <c r="A232" s="9" t="n">
        <v>45645</v>
      </c>
      <c r="B232" s="10" t="s">
        <v>4</v>
      </c>
      <c r="C232" s="10" t="s">
        <v>462</v>
      </c>
      <c r="D232" s="10" t="s">
        <v>38</v>
      </c>
      <c r="E232" s="11" t="s">
        <v>465</v>
      </c>
      <c r="F232" s="10" t="s">
        <v>8</v>
      </c>
      <c r="G232" s="10" t="s">
        <v>108</v>
      </c>
      <c r="H232" s="10" t="n">
        <v>6912</v>
      </c>
    </row>
    <row r="233" customFormat="false" ht="15" hidden="false" customHeight="true" outlineLevel="0" collapsed="false">
      <c r="A233" s="9" t="n">
        <v>45645</v>
      </c>
      <c r="B233" s="10" t="s">
        <v>4</v>
      </c>
      <c r="C233" s="10" t="s">
        <v>462</v>
      </c>
      <c r="D233" s="10" t="s">
        <v>38</v>
      </c>
      <c r="E233" s="11" t="s">
        <v>466</v>
      </c>
      <c r="F233" s="10" t="s">
        <v>8</v>
      </c>
      <c r="G233" s="10" t="s">
        <v>108</v>
      </c>
      <c r="H233" s="10" t="n">
        <v>6913</v>
      </c>
    </row>
    <row r="234" customFormat="false" ht="15" hidden="false" customHeight="true" outlineLevel="0" collapsed="false">
      <c r="A234" s="9" t="n">
        <v>45645</v>
      </c>
      <c r="B234" s="10" t="s">
        <v>4</v>
      </c>
      <c r="C234" s="10" t="s">
        <v>467</v>
      </c>
      <c r="D234" s="10" t="s">
        <v>50</v>
      </c>
      <c r="E234" s="11" t="s">
        <v>468</v>
      </c>
      <c r="F234" s="10" t="s">
        <v>9</v>
      </c>
      <c r="G234" s="10" t="s">
        <v>36</v>
      </c>
      <c r="H234" s="10" t="n">
        <v>6914</v>
      </c>
    </row>
    <row r="235" customFormat="false" ht="15" hidden="false" customHeight="true" outlineLevel="0" collapsed="false">
      <c r="A235" s="9" t="n">
        <v>45645</v>
      </c>
      <c r="B235" s="10" t="s">
        <v>4</v>
      </c>
      <c r="C235" s="10" t="s">
        <v>467</v>
      </c>
      <c r="D235" s="10" t="s">
        <v>50</v>
      </c>
      <c r="E235" s="11" t="s">
        <v>469</v>
      </c>
      <c r="F235" s="10" t="s">
        <v>8</v>
      </c>
      <c r="G235" s="10" t="s">
        <v>108</v>
      </c>
      <c r="H235" s="10" t="n">
        <v>6915</v>
      </c>
    </row>
    <row r="236" customFormat="false" ht="15" hidden="false" customHeight="true" outlineLevel="0" collapsed="false">
      <c r="A236" s="9" t="n">
        <v>45645</v>
      </c>
      <c r="B236" s="10" t="s">
        <v>4</v>
      </c>
      <c r="C236" s="10" t="s">
        <v>467</v>
      </c>
      <c r="D236" s="10" t="s">
        <v>50</v>
      </c>
      <c r="E236" s="11" t="s">
        <v>470</v>
      </c>
      <c r="F236" s="10" t="s">
        <v>9</v>
      </c>
      <c r="G236" s="10" t="s">
        <v>36</v>
      </c>
      <c r="H236" s="10" t="n">
        <v>6916</v>
      </c>
    </row>
    <row r="237" customFormat="false" ht="15" hidden="false" customHeight="true" outlineLevel="0" collapsed="false">
      <c r="A237" s="9" t="n">
        <v>45645</v>
      </c>
      <c r="B237" s="10" t="s">
        <v>4</v>
      </c>
      <c r="C237" s="10" t="s">
        <v>471</v>
      </c>
      <c r="D237" s="10" t="s">
        <v>43</v>
      </c>
      <c r="E237" s="11" t="s">
        <v>472</v>
      </c>
      <c r="F237" s="10" t="s">
        <v>9</v>
      </c>
      <c r="G237" s="10" t="s">
        <v>36</v>
      </c>
      <c r="H237" s="10" t="n">
        <v>6917</v>
      </c>
    </row>
    <row r="238" customFormat="false" ht="15" hidden="false" customHeight="true" outlineLevel="0" collapsed="false">
      <c r="A238" s="9" t="n">
        <v>45707</v>
      </c>
      <c r="B238" s="10" t="s">
        <v>5</v>
      </c>
      <c r="C238" s="10" t="s">
        <v>473</v>
      </c>
      <c r="D238" s="10" t="s">
        <v>38</v>
      </c>
      <c r="E238" s="11" t="s">
        <v>474</v>
      </c>
      <c r="F238" s="10" t="s">
        <v>8</v>
      </c>
      <c r="G238" s="10" t="s">
        <v>36</v>
      </c>
      <c r="H238" s="10" t="n">
        <v>6918</v>
      </c>
    </row>
    <row r="239" customFormat="false" ht="15" hidden="false" customHeight="true" outlineLevel="0" collapsed="false">
      <c r="A239" s="9" t="n">
        <v>45727</v>
      </c>
      <c r="B239" s="10" t="s">
        <v>5</v>
      </c>
      <c r="C239" s="10" t="s">
        <v>475</v>
      </c>
      <c r="D239" s="10" t="s">
        <v>50</v>
      </c>
      <c r="E239" s="11" t="s">
        <v>476</v>
      </c>
      <c r="F239" s="10" t="s">
        <v>13</v>
      </c>
      <c r="G239" s="10" t="s">
        <v>36</v>
      </c>
      <c r="H239" s="10" t="n">
        <v>6919</v>
      </c>
    </row>
    <row r="240" customFormat="false" ht="15" hidden="false" customHeight="true" outlineLevel="0" collapsed="false">
      <c r="A240" s="9" t="n">
        <v>45727</v>
      </c>
      <c r="B240" s="10" t="s">
        <v>5</v>
      </c>
      <c r="C240" s="10" t="s">
        <v>475</v>
      </c>
      <c r="D240" s="10" t="s">
        <v>50</v>
      </c>
      <c r="E240" s="11" t="s">
        <v>477</v>
      </c>
      <c r="F240" s="10" t="s">
        <v>13</v>
      </c>
      <c r="G240" s="10" t="s">
        <v>36</v>
      </c>
      <c r="H240" s="10" t="n">
        <v>6920</v>
      </c>
    </row>
    <row r="241" customFormat="false" ht="15" hidden="false" customHeight="true" outlineLevel="0" collapsed="false">
      <c r="A241" s="9" t="n">
        <v>45734</v>
      </c>
      <c r="B241" s="10" t="s">
        <v>5</v>
      </c>
      <c r="C241" s="10" t="s">
        <v>478</v>
      </c>
      <c r="D241" s="10" t="s">
        <v>38</v>
      </c>
      <c r="E241" s="11" t="s">
        <v>479</v>
      </c>
      <c r="F241" s="10" t="s">
        <v>8</v>
      </c>
      <c r="G241" s="10" t="s">
        <v>108</v>
      </c>
      <c r="H241" s="10" t="n">
        <v>6921</v>
      </c>
    </row>
    <row r="242" customFormat="false" ht="15" hidden="false" customHeight="true" outlineLevel="0" collapsed="false">
      <c r="A242" s="9" t="n">
        <v>45735</v>
      </c>
      <c r="B242" s="10" t="s">
        <v>5</v>
      </c>
      <c r="C242" s="10" t="s">
        <v>480</v>
      </c>
      <c r="D242" s="10" t="s">
        <v>38</v>
      </c>
      <c r="E242" s="11" t="s">
        <v>481</v>
      </c>
      <c r="F242" s="10" t="s">
        <v>8</v>
      </c>
      <c r="G242" s="10" t="s">
        <v>36</v>
      </c>
      <c r="H242" s="10" t="n">
        <v>6922</v>
      </c>
    </row>
    <row r="243" customFormat="false" ht="15" hidden="false" customHeight="true" outlineLevel="0" collapsed="false">
      <c r="A243" s="9" t="n">
        <v>45748</v>
      </c>
      <c r="B243" s="10" t="s">
        <v>5</v>
      </c>
      <c r="C243" s="10" t="s">
        <v>482</v>
      </c>
      <c r="D243" s="10" t="s">
        <v>38</v>
      </c>
      <c r="E243" s="11" t="s">
        <v>483</v>
      </c>
      <c r="F243" s="10" t="s">
        <v>12</v>
      </c>
      <c r="G243" s="10" t="s">
        <v>36</v>
      </c>
      <c r="H243" s="10" t="n">
        <v>6923</v>
      </c>
    </row>
    <row r="244" customFormat="false" ht="15" hidden="false" customHeight="true" outlineLevel="0" collapsed="false">
      <c r="A244" s="9" t="n">
        <v>45748</v>
      </c>
      <c r="B244" s="10" t="s">
        <v>5</v>
      </c>
      <c r="C244" s="10" t="s">
        <v>484</v>
      </c>
      <c r="D244" s="10" t="s">
        <v>43</v>
      </c>
      <c r="E244" s="11" t="s">
        <v>485</v>
      </c>
      <c r="F244" s="10" t="s">
        <v>8</v>
      </c>
      <c r="G244" s="10" t="s">
        <v>36</v>
      </c>
      <c r="H244" s="10" t="n">
        <v>6924</v>
      </c>
    </row>
    <row r="245" customFormat="false" ht="15" hidden="false" customHeight="true" outlineLevel="0" collapsed="false">
      <c r="A245" s="9" t="n">
        <v>45755</v>
      </c>
      <c r="B245" s="10" t="s">
        <v>5</v>
      </c>
      <c r="C245" s="10" t="s">
        <v>486</v>
      </c>
      <c r="D245" s="10" t="s">
        <v>50</v>
      </c>
      <c r="E245" s="11" t="s">
        <v>487</v>
      </c>
      <c r="F245" s="10" t="s">
        <v>8</v>
      </c>
      <c r="G245" s="10" t="s">
        <v>36</v>
      </c>
      <c r="H245" s="10" t="n">
        <v>6925</v>
      </c>
    </row>
    <row r="246" customFormat="false" ht="15" hidden="false" customHeight="true" outlineLevel="0" collapsed="false">
      <c r="A246" s="9" t="n">
        <v>45755</v>
      </c>
      <c r="B246" s="10" t="s">
        <v>5</v>
      </c>
      <c r="C246" s="10" t="s">
        <v>486</v>
      </c>
      <c r="D246" s="10" t="s">
        <v>50</v>
      </c>
      <c r="E246" s="11" t="s">
        <v>488</v>
      </c>
      <c r="F246" s="10" t="s">
        <v>8</v>
      </c>
      <c r="G246" s="10" t="s">
        <v>36</v>
      </c>
      <c r="H246" s="10" t="n">
        <v>6926</v>
      </c>
    </row>
    <row r="247" customFormat="false" ht="15" hidden="false" customHeight="true" outlineLevel="0" collapsed="false">
      <c r="A247" s="9" t="n">
        <v>45776</v>
      </c>
      <c r="B247" s="10" t="s">
        <v>5</v>
      </c>
      <c r="C247" s="10" t="s">
        <v>489</v>
      </c>
      <c r="D247" s="10" t="s">
        <v>38</v>
      </c>
      <c r="E247" s="11" t="s">
        <v>490</v>
      </c>
      <c r="F247" s="10" t="s">
        <v>8</v>
      </c>
      <c r="G247" s="10" t="s">
        <v>36</v>
      </c>
      <c r="H247" s="10" t="n">
        <v>6927</v>
      </c>
    </row>
    <row r="248" customFormat="false" ht="15" hidden="false" customHeight="true" outlineLevel="0" collapsed="false">
      <c r="A248" s="9" t="n">
        <v>45797</v>
      </c>
      <c r="B248" s="10" t="s">
        <v>5</v>
      </c>
      <c r="C248" s="10" t="s">
        <v>491</v>
      </c>
      <c r="D248" s="10" t="s">
        <v>50</v>
      </c>
      <c r="E248" s="11" t="s">
        <v>492</v>
      </c>
      <c r="F248" s="10" t="s">
        <v>15</v>
      </c>
      <c r="G248" s="10" t="s">
        <v>36</v>
      </c>
      <c r="H248" s="10" t="n">
        <v>6928</v>
      </c>
    </row>
    <row r="249" customFormat="false" ht="15" hidden="false" customHeight="true" outlineLevel="0" collapsed="false">
      <c r="A249" s="9" t="n">
        <v>45797</v>
      </c>
      <c r="B249" s="10" t="s">
        <v>5</v>
      </c>
      <c r="C249" s="10" t="s">
        <v>491</v>
      </c>
      <c r="D249" s="10" t="s">
        <v>50</v>
      </c>
      <c r="E249" s="11" t="s">
        <v>493</v>
      </c>
      <c r="F249" s="10" t="s">
        <v>15</v>
      </c>
      <c r="G249" s="10" t="s">
        <v>36</v>
      </c>
      <c r="H249" s="10" t="n">
        <v>6929</v>
      </c>
    </row>
    <row r="250" customFormat="false" ht="15" hidden="false" customHeight="true" outlineLevel="0" collapsed="false">
      <c r="A250" s="9" t="n">
        <v>45798</v>
      </c>
      <c r="B250" s="10" t="s">
        <v>5</v>
      </c>
      <c r="C250" s="10" t="s">
        <v>494</v>
      </c>
      <c r="D250" s="10" t="s">
        <v>54</v>
      </c>
      <c r="E250" s="11" t="s">
        <v>495</v>
      </c>
      <c r="F250" s="10" t="s">
        <v>11</v>
      </c>
      <c r="G250" s="10" t="s">
        <v>36</v>
      </c>
      <c r="H250" s="10" t="n">
        <v>6930</v>
      </c>
    </row>
    <row r="251" customFormat="false" ht="15" hidden="false" customHeight="true" outlineLevel="0" collapsed="false">
      <c r="A251" s="9" t="n">
        <v>45798</v>
      </c>
      <c r="B251" s="10" t="s">
        <v>5</v>
      </c>
      <c r="C251" s="10" t="s">
        <v>496</v>
      </c>
      <c r="D251" s="10" t="s">
        <v>54</v>
      </c>
      <c r="E251" s="11" t="s">
        <v>497</v>
      </c>
      <c r="F251" s="10" t="s">
        <v>11</v>
      </c>
      <c r="G251" s="10" t="s">
        <v>36</v>
      </c>
      <c r="H251" s="10" t="n">
        <v>6931</v>
      </c>
    </row>
    <row r="252" customFormat="false" ht="15" hidden="false" customHeight="true" outlineLevel="0" collapsed="false">
      <c r="A252" s="9" t="n">
        <v>45798</v>
      </c>
      <c r="B252" s="10" t="s">
        <v>5</v>
      </c>
      <c r="C252" s="10" t="s">
        <v>498</v>
      </c>
      <c r="D252" s="10" t="s">
        <v>54</v>
      </c>
      <c r="E252" s="11" t="s">
        <v>499</v>
      </c>
      <c r="F252" s="10" t="s">
        <v>11</v>
      </c>
      <c r="G252" s="10" t="s">
        <v>36</v>
      </c>
      <c r="H252" s="10" t="n">
        <v>6932</v>
      </c>
    </row>
    <row r="253" customFormat="false" ht="15" hidden="false" customHeight="true" outlineLevel="0" collapsed="false">
      <c r="A253" s="9" t="n">
        <v>45798</v>
      </c>
      <c r="B253" s="10" t="s">
        <v>5</v>
      </c>
      <c r="C253" s="10" t="s">
        <v>500</v>
      </c>
      <c r="D253" s="10" t="s">
        <v>54</v>
      </c>
      <c r="E253" s="11" t="s">
        <v>501</v>
      </c>
      <c r="F253" s="10" t="s">
        <v>11</v>
      </c>
      <c r="G253" s="10" t="s">
        <v>36</v>
      </c>
      <c r="H253" s="10" t="n">
        <v>6933</v>
      </c>
    </row>
    <row r="254" customFormat="false" ht="15" hidden="false" customHeight="true" outlineLevel="0" collapsed="false">
      <c r="A254" s="9" t="n">
        <v>45798</v>
      </c>
      <c r="B254" s="10" t="s">
        <v>5</v>
      </c>
      <c r="C254" s="10" t="s">
        <v>502</v>
      </c>
      <c r="D254" s="10" t="s">
        <v>54</v>
      </c>
      <c r="E254" s="11" t="s">
        <v>503</v>
      </c>
      <c r="F254" s="10" t="s">
        <v>12</v>
      </c>
      <c r="G254" s="10" t="s">
        <v>36</v>
      </c>
      <c r="H254" s="10" t="n">
        <v>6934</v>
      </c>
    </row>
    <row r="255" customFormat="false" ht="15" hidden="false" customHeight="true" outlineLevel="0" collapsed="false">
      <c r="A255" s="9" t="n">
        <v>45798</v>
      </c>
      <c r="B255" s="10" t="s">
        <v>5</v>
      </c>
      <c r="C255" s="10" t="s">
        <v>504</v>
      </c>
      <c r="D255" s="10" t="s">
        <v>43</v>
      </c>
      <c r="E255" s="11" t="s">
        <v>505</v>
      </c>
      <c r="F255" s="10" t="s">
        <v>8</v>
      </c>
      <c r="G255" s="10" t="s">
        <v>36</v>
      </c>
      <c r="H255" s="10" t="n">
        <v>6935</v>
      </c>
    </row>
    <row r="256" customFormat="false" ht="15" hidden="false" customHeight="true" outlineLevel="0" collapsed="false">
      <c r="A256" s="9" t="n">
        <v>45804</v>
      </c>
      <c r="B256" s="10" t="s">
        <v>5</v>
      </c>
      <c r="C256" s="10" t="s">
        <v>506</v>
      </c>
      <c r="D256" s="10" t="s">
        <v>50</v>
      </c>
      <c r="E256" s="11" t="s">
        <v>507</v>
      </c>
      <c r="F256" s="10" t="s">
        <v>14</v>
      </c>
      <c r="G256" s="10" t="s">
        <v>36</v>
      </c>
      <c r="H256" s="10" t="n">
        <v>6936</v>
      </c>
    </row>
    <row r="257" customFormat="false" ht="15" hidden="false" customHeight="true" outlineLevel="0" collapsed="false">
      <c r="A257" s="9" t="n">
        <v>45804</v>
      </c>
      <c r="B257" s="10" t="s">
        <v>5</v>
      </c>
      <c r="C257" s="10" t="s">
        <v>506</v>
      </c>
      <c r="D257" s="10" t="s">
        <v>50</v>
      </c>
      <c r="E257" s="11" t="s">
        <v>508</v>
      </c>
      <c r="F257" s="10" t="s">
        <v>14</v>
      </c>
      <c r="G257" s="10" t="s">
        <v>108</v>
      </c>
      <c r="H257" s="10" t="n">
        <v>6937</v>
      </c>
    </row>
    <row r="258" customFormat="false" ht="15" hidden="false" customHeight="true" outlineLevel="0" collapsed="false">
      <c r="A258" s="9" t="n">
        <v>45804</v>
      </c>
      <c r="B258" s="10" t="s">
        <v>5</v>
      </c>
      <c r="C258" s="10" t="s">
        <v>506</v>
      </c>
      <c r="D258" s="10" t="s">
        <v>50</v>
      </c>
      <c r="E258" s="11" t="s">
        <v>509</v>
      </c>
      <c r="F258" s="10" t="s">
        <v>14</v>
      </c>
      <c r="G258" s="10" t="s">
        <v>36</v>
      </c>
      <c r="H258" s="10" t="n">
        <v>6938</v>
      </c>
    </row>
    <row r="259" customFormat="false" ht="15" hidden="false" customHeight="true" outlineLevel="0" collapsed="false">
      <c r="A259" s="9" t="n">
        <v>45804</v>
      </c>
      <c r="B259" s="10" t="s">
        <v>5</v>
      </c>
      <c r="C259" s="10" t="s">
        <v>510</v>
      </c>
      <c r="D259" s="10" t="s">
        <v>38</v>
      </c>
      <c r="E259" s="11" t="s">
        <v>511</v>
      </c>
      <c r="F259" s="10" t="s">
        <v>14</v>
      </c>
      <c r="G259" s="10" t="s">
        <v>36</v>
      </c>
      <c r="H259" s="10" t="n">
        <v>6939</v>
      </c>
    </row>
    <row r="260" customFormat="false" ht="15" hidden="false" customHeight="true" outlineLevel="0" collapsed="false">
      <c r="A260" s="9" t="n">
        <v>45805</v>
      </c>
      <c r="B260" s="10" t="s">
        <v>5</v>
      </c>
      <c r="C260" s="10" t="s">
        <v>512</v>
      </c>
      <c r="D260" s="10" t="s">
        <v>54</v>
      </c>
      <c r="E260" s="11" t="s">
        <v>513</v>
      </c>
      <c r="F260" s="10" t="s">
        <v>14</v>
      </c>
      <c r="G260" s="10" t="s">
        <v>36</v>
      </c>
      <c r="H260" s="10" t="n">
        <v>6940</v>
      </c>
    </row>
    <row r="261" customFormat="false" ht="15" hidden="false" customHeight="true" outlineLevel="0" collapsed="false">
      <c r="A261" s="9" t="n">
        <v>45805</v>
      </c>
      <c r="B261" s="10" t="s">
        <v>5</v>
      </c>
      <c r="C261" s="10" t="s">
        <v>514</v>
      </c>
      <c r="D261" s="10" t="s">
        <v>54</v>
      </c>
      <c r="E261" s="11" t="s">
        <v>515</v>
      </c>
      <c r="F261" s="10" t="s">
        <v>14</v>
      </c>
      <c r="G261" s="10" t="s">
        <v>36</v>
      </c>
      <c r="H261" s="10" t="n">
        <v>6941</v>
      </c>
    </row>
    <row r="262" customFormat="false" ht="15" hidden="false" customHeight="true" outlineLevel="0" collapsed="false">
      <c r="A262" s="9" t="n">
        <v>45805</v>
      </c>
      <c r="B262" s="10" t="s">
        <v>5</v>
      </c>
      <c r="C262" s="10" t="s">
        <v>516</v>
      </c>
      <c r="D262" s="10" t="s">
        <v>54</v>
      </c>
      <c r="E262" s="11" t="s">
        <v>517</v>
      </c>
      <c r="F262" s="10" t="s">
        <v>14</v>
      </c>
      <c r="G262" s="10" t="s">
        <v>36</v>
      </c>
      <c r="H262" s="10" t="n">
        <v>6942</v>
      </c>
    </row>
    <row r="263" customFormat="false" ht="15" hidden="false" customHeight="true" outlineLevel="0" collapsed="false">
      <c r="A263" s="9" t="n">
        <v>45805</v>
      </c>
      <c r="B263" s="10" t="s">
        <v>5</v>
      </c>
      <c r="C263" s="10" t="s">
        <v>518</v>
      </c>
      <c r="D263" s="10" t="s">
        <v>54</v>
      </c>
      <c r="E263" s="11" t="s">
        <v>519</v>
      </c>
      <c r="F263" s="10" t="s">
        <v>14</v>
      </c>
      <c r="G263" s="10" t="s">
        <v>36</v>
      </c>
      <c r="H263" s="10" t="n">
        <v>6943</v>
      </c>
    </row>
    <row r="264" customFormat="false" ht="15" hidden="false" customHeight="true" outlineLevel="0" collapsed="false">
      <c r="A264" s="9" t="n">
        <v>45818</v>
      </c>
      <c r="B264" s="10" t="s">
        <v>5</v>
      </c>
      <c r="C264" s="10" t="s">
        <v>520</v>
      </c>
      <c r="D264" s="10" t="s">
        <v>54</v>
      </c>
      <c r="E264" s="11" t="s">
        <v>521</v>
      </c>
      <c r="F264" s="10" t="s">
        <v>11</v>
      </c>
      <c r="G264" s="10" t="s">
        <v>36</v>
      </c>
      <c r="H264" s="10" t="n">
        <v>6944</v>
      </c>
    </row>
    <row r="265" customFormat="false" ht="15" hidden="false" customHeight="true" outlineLevel="0" collapsed="false">
      <c r="A265" s="9" t="n">
        <v>45818</v>
      </c>
      <c r="B265" s="10" t="s">
        <v>5</v>
      </c>
      <c r="C265" s="10" t="s">
        <v>522</v>
      </c>
      <c r="D265" s="10" t="s">
        <v>54</v>
      </c>
      <c r="E265" s="11" t="s">
        <v>523</v>
      </c>
      <c r="F265" s="10" t="s">
        <v>11</v>
      </c>
      <c r="G265" s="10" t="s">
        <v>36</v>
      </c>
      <c r="H265" s="10" t="n">
        <v>6945</v>
      </c>
    </row>
    <row r="266" customFormat="false" ht="15" hidden="false" customHeight="true" outlineLevel="0" collapsed="false">
      <c r="A266" s="9" t="n">
        <v>45818</v>
      </c>
      <c r="B266" s="10" t="s">
        <v>5</v>
      </c>
      <c r="C266" s="10" t="s">
        <v>524</v>
      </c>
      <c r="D266" s="10" t="s">
        <v>54</v>
      </c>
      <c r="E266" s="11" t="s">
        <v>525</v>
      </c>
      <c r="F266" s="10" t="s">
        <v>11</v>
      </c>
      <c r="G266" s="10" t="s">
        <v>36</v>
      </c>
      <c r="H266" s="10" t="n">
        <v>6946</v>
      </c>
    </row>
    <row r="267" customFormat="false" ht="15" hidden="false" customHeight="true" outlineLevel="0" collapsed="false">
      <c r="A267" s="9" t="n">
        <v>45819</v>
      </c>
      <c r="B267" s="10" t="s">
        <v>5</v>
      </c>
      <c r="C267" s="10" t="s">
        <v>526</v>
      </c>
      <c r="D267" s="10" t="s">
        <v>54</v>
      </c>
      <c r="E267" s="11" t="s">
        <v>527</v>
      </c>
      <c r="F267" s="10" t="s">
        <v>12</v>
      </c>
      <c r="G267" s="10" t="s">
        <v>36</v>
      </c>
      <c r="H267" s="10" t="n">
        <v>6947</v>
      </c>
    </row>
    <row r="268" customFormat="false" ht="15" hidden="false" customHeight="true" outlineLevel="0" collapsed="false">
      <c r="A268" s="9" t="n">
        <v>45819</v>
      </c>
      <c r="B268" s="10" t="s">
        <v>5</v>
      </c>
      <c r="C268" s="10" t="s">
        <v>528</v>
      </c>
      <c r="D268" s="10" t="s">
        <v>54</v>
      </c>
      <c r="E268" s="11" t="s">
        <v>529</v>
      </c>
      <c r="F268" s="10" t="s">
        <v>11</v>
      </c>
      <c r="G268" s="10" t="s">
        <v>36</v>
      </c>
      <c r="H268" s="10" t="n">
        <v>6948</v>
      </c>
    </row>
    <row r="269" customFormat="false" ht="15" hidden="false" customHeight="true" outlineLevel="0" collapsed="false">
      <c r="A269" s="9" t="n">
        <v>45819</v>
      </c>
      <c r="B269" s="10" t="s">
        <v>5</v>
      </c>
      <c r="C269" s="10" t="s">
        <v>530</v>
      </c>
      <c r="D269" s="10" t="s">
        <v>54</v>
      </c>
      <c r="E269" s="11" t="s">
        <v>531</v>
      </c>
      <c r="F269" s="10" t="s">
        <v>11</v>
      </c>
      <c r="G269" s="10" t="s">
        <v>36</v>
      </c>
      <c r="H269" s="10" t="n">
        <v>6949</v>
      </c>
    </row>
    <row r="270" customFormat="false" ht="15" hidden="false" customHeight="true" outlineLevel="0" collapsed="false">
      <c r="A270" s="9" t="n">
        <v>45833</v>
      </c>
      <c r="B270" s="10" t="s">
        <v>5</v>
      </c>
      <c r="C270" s="10" t="s">
        <v>532</v>
      </c>
      <c r="D270" s="10" t="s">
        <v>196</v>
      </c>
      <c r="E270" s="11" t="s">
        <v>533</v>
      </c>
      <c r="F270" s="10" t="s">
        <v>9</v>
      </c>
      <c r="G270" s="10" t="s">
        <v>36</v>
      </c>
      <c r="H270" s="10" t="n">
        <v>6950</v>
      </c>
    </row>
    <row r="271" customFormat="false" ht="15" hidden="false" customHeight="true" outlineLevel="0" collapsed="false">
      <c r="A271" s="9" t="n">
        <v>45833</v>
      </c>
      <c r="B271" s="10" t="s">
        <v>5</v>
      </c>
      <c r="C271" s="10" t="s">
        <v>534</v>
      </c>
      <c r="D271" s="10" t="s">
        <v>38</v>
      </c>
      <c r="E271" s="11" t="s">
        <v>535</v>
      </c>
      <c r="F271" s="10" t="s">
        <v>9</v>
      </c>
      <c r="G271" s="10" t="s">
        <v>36</v>
      </c>
      <c r="H271" s="10" t="n">
        <v>6951</v>
      </c>
    </row>
    <row r="272" customFormat="false" ht="15" hidden="false" customHeight="true" outlineLevel="0" collapsed="false">
      <c r="A272" s="9" t="n">
        <v>45833</v>
      </c>
      <c r="B272" s="10" t="s">
        <v>5</v>
      </c>
      <c r="C272" s="10" t="s">
        <v>534</v>
      </c>
      <c r="D272" s="10" t="s">
        <v>38</v>
      </c>
      <c r="E272" s="11" t="s">
        <v>536</v>
      </c>
      <c r="F272" s="10" t="s">
        <v>8</v>
      </c>
      <c r="G272" s="10" t="s">
        <v>108</v>
      </c>
      <c r="H272" s="10" t="n">
        <v>6952</v>
      </c>
    </row>
    <row r="273" customFormat="false" ht="15" hidden="false" customHeight="true" outlineLevel="0" collapsed="false">
      <c r="A273" s="9" t="n">
        <v>45833</v>
      </c>
      <c r="B273" s="10" t="s">
        <v>5</v>
      </c>
      <c r="C273" s="10" t="s">
        <v>534</v>
      </c>
      <c r="D273" s="10" t="s">
        <v>38</v>
      </c>
      <c r="E273" s="11" t="s">
        <v>537</v>
      </c>
      <c r="F273" s="10" t="s">
        <v>9</v>
      </c>
      <c r="G273" s="10" t="s">
        <v>36</v>
      </c>
      <c r="H273" s="10" t="n">
        <v>6953</v>
      </c>
    </row>
    <row r="274" customFormat="false" ht="15" hidden="false" customHeight="true" outlineLevel="0" collapsed="false">
      <c r="A274" s="9" t="n">
        <v>45839</v>
      </c>
      <c r="B274" s="10" t="s">
        <v>5</v>
      </c>
      <c r="C274" s="10" t="s">
        <v>538</v>
      </c>
      <c r="D274" s="10" t="s">
        <v>97</v>
      </c>
      <c r="E274" s="11" t="s">
        <v>539</v>
      </c>
      <c r="F274" s="10" t="s">
        <v>9</v>
      </c>
      <c r="G274" s="10" t="s">
        <v>36</v>
      </c>
      <c r="H274" s="10" t="n">
        <v>6954</v>
      </c>
    </row>
    <row r="275" customFormat="false" ht="15" hidden="false" customHeight="true" outlineLevel="0" collapsed="false">
      <c r="A275" s="9" t="n">
        <v>45840</v>
      </c>
      <c r="B275" s="10" t="s">
        <v>5</v>
      </c>
      <c r="C275" s="10" t="s">
        <v>540</v>
      </c>
      <c r="D275" s="10" t="s">
        <v>38</v>
      </c>
      <c r="E275" s="11" t="s">
        <v>541</v>
      </c>
      <c r="F275" s="10" t="s">
        <v>8</v>
      </c>
      <c r="G275" s="10" t="s">
        <v>36</v>
      </c>
      <c r="H275" s="10" t="n">
        <v>6955</v>
      </c>
    </row>
    <row r="276" customFormat="false" ht="15" hidden="false" customHeight="true" outlineLevel="0" collapsed="false">
      <c r="A276" s="9" t="n">
        <v>45846</v>
      </c>
      <c r="B276" s="10" t="s">
        <v>5</v>
      </c>
      <c r="C276" s="10" t="s">
        <v>542</v>
      </c>
      <c r="D276" s="10" t="s">
        <v>54</v>
      </c>
      <c r="E276" s="11" t="s">
        <v>543</v>
      </c>
      <c r="F276" s="10" t="s">
        <v>11</v>
      </c>
      <c r="G276" s="10" t="s">
        <v>36</v>
      </c>
      <c r="H276" s="10" t="n">
        <v>6956</v>
      </c>
    </row>
    <row r="277" customFormat="false" ht="15" hidden="false" customHeight="true" outlineLevel="0" collapsed="false">
      <c r="A277" s="9" t="n">
        <v>45846</v>
      </c>
      <c r="B277" s="10" t="s">
        <v>5</v>
      </c>
      <c r="C277" s="10" t="s">
        <v>544</v>
      </c>
      <c r="D277" s="10" t="s">
        <v>54</v>
      </c>
      <c r="E277" s="11" t="s">
        <v>545</v>
      </c>
      <c r="F277" s="10" t="s">
        <v>11</v>
      </c>
      <c r="G277" s="10" t="s">
        <v>36</v>
      </c>
      <c r="H277" s="10" t="n">
        <v>6957</v>
      </c>
    </row>
    <row r="278" customFormat="false" ht="15" hidden="false" customHeight="true" outlineLevel="0" collapsed="false">
      <c r="A278" s="9" t="n">
        <v>45846</v>
      </c>
      <c r="B278" s="10" t="s">
        <v>5</v>
      </c>
      <c r="C278" s="10" t="s">
        <v>546</v>
      </c>
      <c r="D278" s="10" t="s">
        <v>54</v>
      </c>
      <c r="E278" s="11" t="s">
        <v>547</v>
      </c>
      <c r="F278" s="10" t="s">
        <v>11</v>
      </c>
      <c r="G278" s="10" t="s">
        <v>36</v>
      </c>
      <c r="H278" s="10" t="n">
        <v>6958</v>
      </c>
    </row>
    <row r="279" customFormat="false" ht="15" hidden="false" customHeight="true" outlineLevel="0" collapsed="false">
      <c r="A279" s="9" t="n">
        <v>45846</v>
      </c>
      <c r="B279" s="10" t="s">
        <v>5</v>
      </c>
      <c r="C279" s="10" t="s">
        <v>548</v>
      </c>
      <c r="D279" s="10" t="s">
        <v>54</v>
      </c>
      <c r="E279" s="11" t="s">
        <v>549</v>
      </c>
      <c r="F279" s="10" t="s">
        <v>11</v>
      </c>
      <c r="G279" s="10" t="s">
        <v>36</v>
      </c>
      <c r="H279" s="10" t="n">
        <v>6959</v>
      </c>
    </row>
    <row r="280" customFormat="false" ht="15" hidden="false" customHeight="true" outlineLevel="0" collapsed="false">
      <c r="A280" s="9" t="n">
        <v>45846</v>
      </c>
      <c r="B280" s="10" t="s">
        <v>5</v>
      </c>
      <c r="C280" s="10" t="s">
        <v>550</v>
      </c>
      <c r="D280" s="10" t="s">
        <v>54</v>
      </c>
      <c r="E280" s="11" t="s">
        <v>551</v>
      </c>
      <c r="F280" s="10" t="s">
        <v>11</v>
      </c>
      <c r="G280" s="10" t="s">
        <v>36</v>
      </c>
      <c r="H280" s="10" t="n">
        <v>6960</v>
      </c>
    </row>
    <row r="281" customFormat="false" ht="15" hidden="false" customHeight="true" outlineLevel="0" collapsed="false">
      <c r="A281" s="9" t="n">
        <v>45846</v>
      </c>
      <c r="B281" s="10" t="s">
        <v>5</v>
      </c>
      <c r="C281" s="10" t="s">
        <v>552</v>
      </c>
      <c r="D281" s="10" t="s">
        <v>54</v>
      </c>
      <c r="E281" s="11" t="s">
        <v>553</v>
      </c>
      <c r="F281" s="10" t="s">
        <v>11</v>
      </c>
      <c r="G281" s="10" t="s">
        <v>36</v>
      </c>
      <c r="H281" s="10" t="n">
        <v>6961</v>
      </c>
    </row>
    <row r="282" customFormat="false" ht="15" hidden="false" customHeight="true" outlineLevel="0" collapsed="false">
      <c r="A282" s="9" t="n">
        <v>45847</v>
      </c>
      <c r="B282" s="10" t="s">
        <v>5</v>
      </c>
      <c r="C282" s="10" t="s">
        <v>554</v>
      </c>
      <c r="D282" s="10" t="s">
        <v>50</v>
      </c>
      <c r="E282" s="11" t="s">
        <v>555</v>
      </c>
      <c r="F282" s="10" t="s">
        <v>8</v>
      </c>
      <c r="G282" s="10" t="s">
        <v>36</v>
      </c>
      <c r="H282" s="10" t="n">
        <v>6962</v>
      </c>
    </row>
    <row r="283" customFormat="false" ht="15" hidden="false" customHeight="true" outlineLevel="0" collapsed="false">
      <c r="A283" s="9" t="n">
        <v>45847</v>
      </c>
      <c r="B283" s="10" t="s">
        <v>5</v>
      </c>
      <c r="C283" s="10" t="s">
        <v>554</v>
      </c>
      <c r="D283" s="10" t="s">
        <v>50</v>
      </c>
      <c r="E283" s="11" t="s">
        <v>556</v>
      </c>
      <c r="F283" s="10" t="s">
        <v>8</v>
      </c>
      <c r="G283" s="10" t="s">
        <v>36</v>
      </c>
      <c r="H283" s="10" t="n">
        <v>6963</v>
      </c>
    </row>
    <row r="284" customFormat="false" ht="15" hidden="false" customHeight="true" outlineLevel="0" collapsed="false">
      <c r="A284" s="9" t="n">
        <v>45854</v>
      </c>
      <c r="B284" s="10" t="s">
        <v>5</v>
      </c>
      <c r="C284" s="10" t="s">
        <v>557</v>
      </c>
      <c r="D284" s="10" t="s">
        <v>38</v>
      </c>
      <c r="E284" s="11" t="s">
        <v>558</v>
      </c>
      <c r="F284" s="10" t="s">
        <v>12</v>
      </c>
      <c r="G284" s="10" t="s">
        <v>36</v>
      </c>
      <c r="H284" s="10" t="n">
        <v>6964</v>
      </c>
    </row>
    <row r="285" customFormat="false" ht="15" hidden="false" customHeight="true" outlineLevel="0" collapsed="false">
      <c r="A285" s="9" t="n">
        <v>45854</v>
      </c>
      <c r="B285" s="10" t="s">
        <v>5</v>
      </c>
      <c r="C285" s="10" t="s">
        <v>559</v>
      </c>
      <c r="D285" s="10" t="s">
        <v>50</v>
      </c>
      <c r="E285" s="11" t="s">
        <v>560</v>
      </c>
      <c r="F285" s="10" t="s">
        <v>12</v>
      </c>
      <c r="G285" s="10" t="s">
        <v>36</v>
      </c>
      <c r="H285" s="10" t="n">
        <v>6965</v>
      </c>
    </row>
    <row r="286" customFormat="false" ht="15" hidden="false" customHeight="true" outlineLevel="0" collapsed="false">
      <c r="A286" s="9" t="n">
        <v>45882</v>
      </c>
      <c r="B286" s="10" t="s">
        <v>5</v>
      </c>
      <c r="C286" s="10" t="s">
        <v>561</v>
      </c>
      <c r="D286" s="10" t="s">
        <v>54</v>
      </c>
      <c r="E286" s="11" t="s">
        <v>562</v>
      </c>
      <c r="F286" s="10" t="s">
        <v>11</v>
      </c>
      <c r="G286" s="10" t="s">
        <v>36</v>
      </c>
      <c r="H286" s="10" t="n">
        <v>6966</v>
      </c>
    </row>
    <row r="287" customFormat="false" ht="15" hidden="false" customHeight="true" outlineLevel="0" collapsed="false">
      <c r="A287" s="9" t="n">
        <v>45882</v>
      </c>
      <c r="B287" s="10" t="s">
        <v>5</v>
      </c>
      <c r="C287" s="10" t="s">
        <v>563</v>
      </c>
      <c r="D287" s="10" t="s">
        <v>54</v>
      </c>
      <c r="E287" s="11" t="s">
        <v>564</v>
      </c>
      <c r="F287" s="10" t="s">
        <v>11</v>
      </c>
      <c r="G287" s="10" t="s">
        <v>36</v>
      </c>
      <c r="H287" s="10" t="n">
        <v>6967</v>
      </c>
    </row>
    <row r="288" customFormat="false" ht="15" hidden="false" customHeight="true" outlineLevel="0" collapsed="false">
      <c r="A288" s="9" t="n">
        <v>45882</v>
      </c>
      <c r="B288" s="10" t="s">
        <v>5</v>
      </c>
      <c r="C288" s="10" t="s">
        <v>565</v>
      </c>
      <c r="D288" s="10" t="s">
        <v>54</v>
      </c>
      <c r="E288" s="11" t="s">
        <v>566</v>
      </c>
      <c r="F288" s="10" t="s">
        <v>11</v>
      </c>
      <c r="G288" s="10" t="s">
        <v>36</v>
      </c>
      <c r="H288" s="10" t="n">
        <v>6968</v>
      </c>
    </row>
    <row r="289" customFormat="false" ht="15" hidden="false" customHeight="true" outlineLevel="0" collapsed="false">
      <c r="A289" s="9" t="n">
        <v>45882</v>
      </c>
      <c r="B289" s="10" t="s">
        <v>5</v>
      </c>
      <c r="C289" s="10" t="s">
        <v>567</v>
      </c>
      <c r="D289" s="10" t="s">
        <v>54</v>
      </c>
      <c r="E289" s="11" t="s">
        <v>568</v>
      </c>
      <c r="F289" s="10" t="s">
        <v>11</v>
      </c>
      <c r="G289" s="10" t="s">
        <v>36</v>
      </c>
      <c r="H289" s="10" t="n">
        <v>6969</v>
      </c>
    </row>
    <row r="290" customFormat="false" ht="15" hidden="false" customHeight="true" outlineLevel="0" collapsed="false">
      <c r="A290" s="9" t="n">
        <v>45882</v>
      </c>
      <c r="B290" s="10" t="s">
        <v>5</v>
      </c>
      <c r="C290" s="10" t="s">
        <v>569</v>
      </c>
      <c r="D290" s="10" t="s">
        <v>54</v>
      </c>
      <c r="E290" s="11" t="s">
        <v>570</v>
      </c>
      <c r="F290" s="10" t="s">
        <v>11</v>
      </c>
      <c r="G290" s="10" t="s">
        <v>36</v>
      </c>
      <c r="H290" s="10" t="n">
        <v>6970</v>
      </c>
    </row>
    <row r="291" customFormat="false" ht="15" hidden="false" customHeight="true" outlineLevel="0" collapsed="false">
      <c r="A291" s="9" t="n">
        <v>45882</v>
      </c>
      <c r="B291" s="10" t="s">
        <v>5</v>
      </c>
      <c r="C291" s="10" t="s">
        <v>571</v>
      </c>
      <c r="D291" s="10" t="s">
        <v>54</v>
      </c>
      <c r="E291" s="11" t="s">
        <v>159</v>
      </c>
      <c r="F291" s="10" t="s">
        <v>12</v>
      </c>
      <c r="G291" s="10" t="s">
        <v>36</v>
      </c>
      <c r="H291" s="10" t="n">
        <v>6971</v>
      </c>
    </row>
    <row r="292" customFormat="false" ht="15" hidden="false" customHeight="true" outlineLevel="0" collapsed="false">
      <c r="A292" s="9" t="n">
        <v>45882</v>
      </c>
      <c r="B292" s="10" t="s">
        <v>5</v>
      </c>
      <c r="C292" s="10" t="s">
        <v>572</v>
      </c>
      <c r="D292" s="10" t="s">
        <v>54</v>
      </c>
      <c r="E292" s="11" t="s">
        <v>573</v>
      </c>
      <c r="F292" s="10" t="s">
        <v>12</v>
      </c>
      <c r="G292" s="10" t="s">
        <v>36</v>
      </c>
      <c r="H292" s="10" t="n">
        <v>6972</v>
      </c>
    </row>
    <row r="293" customFormat="false" ht="15" hidden="false" customHeight="true" outlineLevel="0" collapsed="false">
      <c r="A293" s="9" t="n">
        <v>45888</v>
      </c>
      <c r="B293" s="10" t="s">
        <v>5</v>
      </c>
      <c r="C293" s="10" t="s">
        <v>574</v>
      </c>
      <c r="D293" s="10" t="s">
        <v>54</v>
      </c>
      <c r="E293" s="11" t="s">
        <v>575</v>
      </c>
      <c r="F293" s="10" t="s">
        <v>11</v>
      </c>
      <c r="G293" s="10" t="s">
        <v>36</v>
      </c>
      <c r="H293" s="10" t="n">
        <v>6973</v>
      </c>
    </row>
    <row r="294" customFormat="false" ht="15" hidden="false" customHeight="true" outlineLevel="0" collapsed="false">
      <c r="A294" s="9" t="n">
        <v>45888</v>
      </c>
      <c r="B294" s="10" t="s">
        <v>5</v>
      </c>
      <c r="C294" s="10" t="s">
        <v>576</v>
      </c>
      <c r="D294" s="10" t="s">
        <v>54</v>
      </c>
      <c r="E294" s="11" t="s">
        <v>577</v>
      </c>
      <c r="F294" s="10" t="s">
        <v>11</v>
      </c>
      <c r="G294" s="10" t="s">
        <v>36</v>
      </c>
      <c r="H294" s="10" t="n">
        <v>6974</v>
      </c>
    </row>
    <row r="295" customFormat="false" ht="15" hidden="false" customHeight="true" outlineLevel="0" collapsed="false">
      <c r="A295" s="9" t="n">
        <v>45888</v>
      </c>
      <c r="B295" s="10" t="s">
        <v>5</v>
      </c>
      <c r="C295" s="10" t="s">
        <v>578</v>
      </c>
      <c r="D295" s="10" t="s">
        <v>54</v>
      </c>
      <c r="E295" s="11" t="s">
        <v>579</v>
      </c>
      <c r="F295" s="10" t="s">
        <v>11</v>
      </c>
      <c r="G295" s="10" t="s">
        <v>36</v>
      </c>
      <c r="H295" s="10" t="n">
        <v>6975</v>
      </c>
    </row>
    <row r="296" customFormat="false" ht="15" hidden="false" customHeight="true" outlineLevel="0" collapsed="false">
      <c r="A296" s="9" t="n">
        <v>45888</v>
      </c>
      <c r="B296" s="10" t="s">
        <v>5</v>
      </c>
      <c r="C296" s="10" t="s">
        <v>580</v>
      </c>
      <c r="D296" s="10" t="s">
        <v>54</v>
      </c>
      <c r="E296" s="11" t="s">
        <v>581</v>
      </c>
      <c r="F296" s="10" t="s">
        <v>11</v>
      </c>
      <c r="G296" s="10" t="s">
        <v>36</v>
      </c>
      <c r="H296" s="10" t="n">
        <v>6976</v>
      </c>
    </row>
    <row r="297" customFormat="false" ht="15" hidden="false" customHeight="true" outlineLevel="0" collapsed="false">
      <c r="A297" s="9" t="n">
        <v>45888</v>
      </c>
      <c r="B297" s="10" t="s">
        <v>5</v>
      </c>
      <c r="C297" s="10" t="s">
        <v>582</v>
      </c>
      <c r="D297" s="10" t="s">
        <v>54</v>
      </c>
      <c r="E297" s="11" t="s">
        <v>583</v>
      </c>
      <c r="F297" s="10" t="s">
        <v>11</v>
      </c>
      <c r="G297" s="10" t="s">
        <v>36</v>
      </c>
      <c r="H297" s="10" t="n">
        <v>6977</v>
      </c>
    </row>
    <row r="298" customFormat="false" ht="15" hidden="false" customHeight="true" outlineLevel="0" collapsed="false">
      <c r="A298" s="9" t="n">
        <v>45888</v>
      </c>
      <c r="B298" s="10" t="s">
        <v>5</v>
      </c>
      <c r="C298" s="10" t="s">
        <v>584</v>
      </c>
      <c r="D298" s="10" t="s">
        <v>54</v>
      </c>
      <c r="E298" s="11" t="s">
        <v>585</v>
      </c>
      <c r="F298" s="10" t="s">
        <v>11</v>
      </c>
      <c r="G298" s="10" t="s">
        <v>36</v>
      </c>
      <c r="H298" s="10" t="n">
        <v>6978</v>
      </c>
    </row>
    <row r="299" customFormat="false" ht="15" hidden="false" customHeight="true" outlineLevel="0" collapsed="false">
      <c r="A299" s="9" t="n">
        <v>45888</v>
      </c>
      <c r="B299" s="10" t="s">
        <v>5</v>
      </c>
      <c r="C299" s="10" t="s">
        <v>586</v>
      </c>
      <c r="D299" s="10" t="s">
        <v>54</v>
      </c>
      <c r="E299" s="11" t="s">
        <v>587</v>
      </c>
      <c r="F299" s="10" t="s">
        <v>11</v>
      </c>
      <c r="G299" s="10" t="s">
        <v>36</v>
      </c>
      <c r="H299" s="10" t="n">
        <v>6979</v>
      </c>
    </row>
    <row r="300" customFormat="false" ht="15" hidden="false" customHeight="true" outlineLevel="0" collapsed="false">
      <c r="A300" s="9" t="n">
        <v>45888</v>
      </c>
      <c r="B300" s="10" t="s">
        <v>5</v>
      </c>
      <c r="C300" s="10" t="s">
        <v>588</v>
      </c>
      <c r="D300" s="10" t="s">
        <v>54</v>
      </c>
      <c r="E300" s="11" t="s">
        <v>589</v>
      </c>
      <c r="F300" s="10" t="s">
        <v>11</v>
      </c>
      <c r="G300" s="10" t="s">
        <v>36</v>
      </c>
      <c r="H300" s="10" t="n">
        <v>6980</v>
      </c>
    </row>
    <row r="301" customFormat="false" ht="15" hidden="false" customHeight="true" outlineLevel="0" collapsed="false">
      <c r="A301" s="9" t="n">
        <v>45888</v>
      </c>
      <c r="B301" s="10" t="s">
        <v>5</v>
      </c>
      <c r="C301" s="10" t="s">
        <v>590</v>
      </c>
      <c r="D301" s="10" t="s">
        <v>54</v>
      </c>
      <c r="E301" s="11" t="s">
        <v>591</v>
      </c>
      <c r="F301" s="10" t="s">
        <v>11</v>
      </c>
      <c r="G301" s="10" t="s">
        <v>36</v>
      </c>
      <c r="H301" s="10" t="n">
        <v>6981</v>
      </c>
    </row>
    <row r="302" customFormat="false" ht="15" hidden="false" customHeight="true" outlineLevel="0" collapsed="false">
      <c r="A302" s="9" t="n">
        <v>45888</v>
      </c>
      <c r="B302" s="10" t="s">
        <v>5</v>
      </c>
      <c r="C302" s="10" t="s">
        <v>592</v>
      </c>
      <c r="D302" s="10" t="s">
        <v>54</v>
      </c>
      <c r="E302" s="11" t="s">
        <v>161</v>
      </c>
      <c r="F302" s="10" t="s">
        <v>11</v>
      </c>
      <c r="G302" s="10" t="s">
        <v>36</v>
      </c>
      <c r="H302" s="10" t="n">
        <v>6982</v>
      </c>
    </row>
    <row r="303" customFormat="false" ht="15" hidden="false" customHeight="true" outlineLevel="0" collapsed="false">
      <c r="A303" s="9" t="n">
        <v>45888</v>
      </c>
      <c r="B303" s="10" t="s">
        <v>5</v>
      </c>
      <c r="C303" s="10" t="s">
        <v>593</v>
      </c>
      <c r="D303" s="10" t="s">
        <v>54</v>
      </c>
      <c r="E303" s="11" t="s">
        <v>594</v>
      </c>
      <c r="F303" s="10" t="s">
        <v>11</v>
      </c>
      <c r="G303" s="10" t="s">
        <v>36</v>
      </c>
      <c r="H303" s="10" t="n">
        <v>6983</v>
      </c>
    </row>
    <row r="304" customFormat="false" ht="15" hidden="false" customHeight="true" outlineLevel="0" collapsed="false">
      <c r="A304" s="9" t="n">
        <v>45888</v>
      </c>
      <c r="B304" s="10" t="s">
        <v>5</v>
      </c>
      <c r="C304" s="10" t="s">
        <v>595</v>
      </c>
      <c r="D304" s="10" t="s">
        <v>54</v>
      </c>
      <c r="E304" s="11" t="s">
        <v>596</v>
      </c>
      <c r="F304" s="10" t="s">
        <v>11</v>
      </c>
      <c r="G304" s="10" t="s">
        <v>36</v>
      </c>
      <c r="H304" s="10" t="n">
        <v>6984</v>
      </c>
    </row>
    <row r="305" customFormat="false" ht="15" hidden="false" customHeight="true" outlineLevel="0" collapsed="false">
      <c r="A305" s="9" t="n">
        <v>45888</v>
      </c>
      <c r="B305" s="10" t="s">
        <v>5</v>
      </c>
      <c r="C305" s="10" t="s">
        <v>597</v>
      </c>
      <c r="D305" s="10" t="s">
        <v>54</v>
      </c>
      <c r="E305" s="11" t="s">
        <v>598</v>
      </c>
      <c r="F305" s="10" t="s">
        <v>11</v>
      </c>
      <c r="G305" s="10" t="s">
        <v>36</v>
      </c>
      <c r="H305" s="10" t="n">
        <v>6985</v>
      </c>
    </row>
    <row r="306" customFormat="false" ht="15" hidden="false" customHeight="true" outlineLevel="0" collapsed="false">
      <c r="A306" s="9" t="n">
        <v>45888</v>
      </c>
      <c r="B306" s="10" t="s">
        <v>5</v>
      </c>
      <c r="C306" s="10" t="s">
        <v>599</v>
      </c>
      <c r="D306" s="10" t="s">
        <v>54</v>
      </c>
      <c r="E306" s="11" t="s">
        <v>600</v>
      </c>
      <c r="F306" s="10" t="s">
        <v>11</v>
      </c>
      <c r="G306" s="10" t="s">
        <v>36</v>
      </c>
      <c r="H306" s="10" t="n">
        <v>6986</v>
      </c>
    </row>
    <row r="307" customFormat="false" ht="15" hidden="false" customHeight="true" outlineLevel="0" collapsed="false">
      <c r="A307" s="9" t="n">
        <v>45888</v>
      </c>
      <c r="B307" s="10" t="s">
        <v>5</v>
      </c>
      <c r="C307" s="10" t="s">
        <v>601</v>
      </c>
      <c r="D307" s="10" t="s">
        <v>54</v>
      </c>
      <c r="E307" s="11" t="s">
        <v>602</v>
      </c>
      <c r="F307" s="10" t="s">
        <v>12</v>
      </c>
      <c r="G307" s="10" t="s">
        <v>36</v>
      </c>
      <c r="H307" s="10" t="n">
        <v>6987</v>
      </c>
    </row>
    <row r="308" customFormat="false" ht="15" hidden="false" customHeight="true" outlineLevel="0" collapsed="false">
      <c r="A308" s="9" t="n">
        <v>45888</v>
      </c>
      <c r="B308" s="10" t="s">
        <v>5</v>
      </c>
      <c r="C308" s="10" t="s">
        <v>603</v>
      </c>
      <c r="D308" s="10" t="s">
        <v>54</v>
      </c>
      <c r="E308" s="11" t="s">
        <v>604</v>
      </c>
      <c r="F308" s="10" t="s">
        <v>11</v>
      </c>
      <c r="G308" s="10" t="s">
        <v>36</v>
      </c>
      <c r="H308" s="10" t="n">
        <v>6988</v>
      </c>
    </row>
    <row r="309" customFormat="false" ht="15" hidden="false" customHeight="true" outlineLevel="0" collapsed="false">
      <c r="A309" s="9" t="n">
        <v>45888</v>
      </c>
      <c r="B309" s="10" t="s">
        <v>5</v>
      </c>
      <c r="C309" s="10" t="s">
        <v>605</v>
      </c>
      <c r="D309" s="10" t="s">
        <v>54</v>
      </c>
      <c r="E309" s="11" t="s">
        <v>606</v>
      </c>
      <c r="F309" s="10" t="s">
        <v>12</v>
      </c>
      <c r="G309" s="10" t="s">
        <v>36</v>
      </c>
      <c r="H309" s="10" t="n">
        <v>6989</v>
      </c>
    </row>
    <row r="310" customFormat="false" ht="15" hidden="false" customHeight="true" outlineLevel="0" collapsed="false">
      <c r="A310" s="9" t="n">
        <v>45888</v>
      </c>
      <c r="B310" s="10" t="s">
        <v>5</v>
      </c>
      <c r="C310" s="10" t="s">
        <v>607</v>
      </c>
      <c r="D310" s="10" t="s">
        <v>54</v>
      </c>
      <c r="E310" s="11" t="s">
        <v>608</v>
      </c>
      <c r="F310" s="10" t="s">
        <v>11</v>
      </c>
      <c r="G310" s="10" t="s">
        <v>36</v>
      </c>
      <c r="H310" s="10" t="n">
        <v>6990</v>
      </c>
    </row>
    <row r="311" customFormat="false" ht="15" hidden="false" customHeight="true" outlineLevel="0" collapsed="false">
      <c r="A311" s="9" t="n">
        <v>45888</v>
      </c>
      <c r="B311" s="10" t="s">
        <v>5</v>
      </c>
      <c r="C311" s="10" t="s">
        <v>609</v>
      </c>
      <c r="D311" s="10" t="s">
        <v>54</v>
      </c>
      <c r="E311" s="11" t="s">
        <v>610</v>
      </c>
      <c r="F311" s="10" t="s">
        <v>11</v>
      </c>
      <c r="G311" s="10" t="s">
        <v>36</v>
      </c>
      <c r="H311" s="10" t="n">
        <v>6991</v>
      </c>
    </row>
    <row r="312" customFormat="false" ht="15" hidden="false" customHeight="true" outlineLevel="0" collapsed="false">
      <c r="A312" s="9" t="n">
        <v>45888</v>
      </c>
      <c r="B312" s="10" t="s">
        <v>5</v>
      </c>
      <c r="C312" s="10" t="s">
        <v>611</v>
      </c>
      <c r="D312" s="10" t="s">
        <v>54</v>
      </c>
      <c r="E312" s="11" t="s">
        <v>612</v>
      </c>
      <c r="F312" s="10" t="s">
        <v>11</v>
      </c>
      <c r="G312" s="10" t="s">
        <v>36</v>
      </c>
      <c r="H312" s="10" t="n">
        <v>6992</v>
      </c>
    </row>
    <row r="313" customFormat="false" ht="15" hidden="false" customHeight="true" outlineLevel="0" collapsed="false">
      <c r="A313" s="9" t="n">
        <v>45888</v>
      </c>
      <c r="B313" s="10" t="s">
        <v>5</v>
      </c>
      <c r="C313" s="10" t="s">
        <v>613</v>
      </c>
      <c r="D313" s="10" t="s">
        <v>54</v>
      </c>
      <c r="E313" s="11" t="s">
        <v>614</v>
      </c>
      <c r="F313" s="10" t="s">
        <v>11</v>
      </c>
      <c r="G313" s="10" t="s">
        <v>36</v>
      </c>
      <c r="H313" s="10" t="n">
        <v>6993</v>
      </c>
    </row>
    <row r="314" customFormat="false" ht="15" hidden="false" customHeight="true" outlineLevel="0" collapsed="false">
      <c r="A314" s="9" t="n">
        <v>45888</v>
      </c>
      <c r="B314" s="10" t="s">
        <v>5</v>
      </c>
      <c r="C314" s="10" t="s">
        <v>615</v>
      </c>
      <c r="D314" s="10" t="s">
        <v>54</v>
      </c>
      <c r="E314" s="11" t="s">
        <v>616</v>
      </c>
      <c r="F314" s="10" t="s">
        <v>11</v>
      </c>
      <c r="G314" s="10" t="s">
        <v>36</v>
      </c>
      <c r="H314" s="10" t="n">
        <v>6994</v>
      </c>
    </row>
    <row r="315" customFormat="false" ht="15" hidden="false" customHeight="true" outlineLevel="0" collapsed="false">
      <c r="A315" s="9" t="n">
        <v>45888</v>
      </c>
      <c r="B315" s="10" t="s">
        <v>5</v>
      </c>
      <c r="C315" s="10" t="s">
        <v>617</v>
      </c>
      <c r="D315" s="10" t="s">
        <v>54</v>
      </c>
      <c r="E315" s="11" t="s">
        <v>618</v>
      </c>
      <c r="F315" s="10" t="s">
        <v>11</v>
      </c>
      <c r="G315" s="10" t="s">
        <v>36</v>
      </c>
      <c r="H315" s="10" t="n">
        <v>6995</v>
      </c>
    </row>
    <row r="316" customFormat="false" ht="15" hidden="false" customHeight="true" outlineLevel="0" collapsed="false">
      <c r="A316" s="9" t="n">
        <v>45888</v>
      </c>
      <c r="B316" s="10" t="s">
        <v>5</v>
      </c>
      <c r="C316" s="10" t="s">
        <v>619</v>
      </c>
      <c r="D316" s="10" t="s">
        <v>54</v>
      </c>
      <c r="E316" s="11" t="s">
        <v>620</v>
      </c>
      <c r="F316" s="10" t="s">
        <v>11</v>
      </c>
      <c r="G316" s="10" t="s">
        <v>36</v>
      </c>
      <c r="H316" s="10" t="n">
        <v>6996</v>
      </c>
    </row>
    <row r="317" customFormat="false" ht="15" hidden="false" customHeight="true" outlineLevel="0" collapsed="false">
      <c r="A317" s="9" t="n">
        <v>45889</v>
      </c>
      <c r="B317" s="10" t="s">
        <v>5</v>
      </c>
      <c r="C317" s="10" t="s">
        <v>621</v>
      </c>
      <c r="D317" s="10" t="s">
        <v>54</v>
      </c>
      <c r="E317" s="11" t="s">
        <v>622</v>
      </c>
      <c r="F317" s="10" t="s">
        <v>11</v>
      </c>
      <c r="G317" s="10" t="s">
        <v>36</v>
      </c>
      <c r="H317" s="10" t="n">
        <v>6997</v>
      </c>
    </row>
    <row r="318" customFormat="false" ht="15" hidden="false" customHeight="true" outlineLevel="0" collapsed="false">
      <c r="A318" s="9" t="n">
        <v>45889</v>
      </c>
      <c r="B318" s="10" t="s">
        <v>5</v>
      </c>
      <c r="C318" s="10" t="s">
        <v>623</v>
      </c>
      <c r="D318" s="10" t="s">
        <v>54</v>
      </c>
      <c r="E318" s="11" t="s">
        <v>624</v>
      </c>
      <c r="F318" s="10" t="s">
        <v>11</v>
      </c>
      <c r="G318" s="10" t="s">
        <v>36</v>
      </c>
      <c r="H318" s="10" t="n">
        <v>6998</v>
      </c>
    </row>
    <row r="319" customFormat="false" ht="15" hidden="false" customHeight="true" outlineLevel="0" collapsed="false">
      <c r="A319" s="9" t="n">
        <v>45889</v>
      </c>
      <c r="B319" s="10" t="s">
        <v>5</v>
      </c>
      <c r="C319" s="10" t="s">
        <v>625</v>
      </c>
      <c r="D319" s="10" t="s">
        <v>54</v>
      </c>
      <c r="E319" s="11" t="s">
        <v>626</v>
      </c>
      <c r="F319" s="10" t="s">
        <v>11</v>
      </c>
      <c r="G319" s="10" t="s">
        <v>36</v>
      </c>
      <c r="H319" s="10" t="n">
        <v>6999</v>
      </c>
    </row>
    <row r="320" customFormat="false" ht="15" hidden="false" customHeight="true" outlineLevel="0" collapsed="false">
      <c r="A320" s="9" t="n">
        <v>45889</v>
      </c>
      <c r="B320" s="10" t="s">
        <v>5</v>
      </c>
      <c r="C320" s="10" t="s">
        <v>627</v>
      </c>
      <c r="D320" s="10" t="s">
        <v>54</v>
      </c>
      <c r="E320" s="11" t="s">
        <v>628</v>
      </c>
      <c r="F320" s="10" t="s">
        <v>11</v>
      </c>
      <c r="G320" s="10" t="s">
        <v>36</v>
      </c>
      <c r="H320" s="10" t="n">
        <v>7000</v>
      </c>
    </row>
    <row r="321" customFormat="false" ht="15" hidden="false" customHeight="true" outlineLevel="0" collapsed="false">
      <c r="A321" s="9" t="n">
        <v>45889</v>
      </c>
      <c r="B321" s="10" t="s">
        <v>5</v>
      </c>
      <c r="C321" s="10" t="s">
        <v>629</v>
      </c>
      <c r="D321" s="10" t="s">
        <v>54</v>
      </c>
      <c r="E321" s="11" t="s">
        <v>630</v>
      </c>
      <c r="F321" s="10" t="s">
        <v>11</v>
      </c>
      <c r="G321" s="10" t="s">
        <v>36</v>
      </c>
      <c r="H321" s="10" t="n">
        <v>7001</v>
      </c>
    </row>
    <row r="322" customFormat="false" ht="15" hidden="false" customHeight="true" outlineLevel="0" collapsed="false">
      <c r="A322" s="9" t="n">
        <v>45889</v>
      </c>
      <c r="B322" s="10" t="s">
        <v>5</v>
      </c>
      <c r="C322" s="10" t="s">
        <v>631</v>
      </c>
      <c r="D322" s="10" t="s">
        <v>54</v>
      </c>
      <c r="E322" s="11" t="s">
        <v>632</v>
      </c>
      <c r="F322" s="10" t="s">
        <v>11</v>
      </c>
      <c r="G322" s="10" t="s">
        <v>36</v>
      </c>
      <c r="H322" s="10" t="n">
        <v>7002</v>
      </c>
    </row>
    <row r="323" customFormat="false" ht="15" hidden="false" customHeight="true" outlineLevel="0" collapsed="false">
      <c r="A323" s="9" t="n">
        <v>45889</v>
      </c>
      <c r="B323" s="10" t="s">
        <v>5</v>
      </c>
      <c r="C323" s="10" t="s">
        <v>633</v>
      </c>
      <c r="D323" s="10" t="s">
        <v>54</v>
      </c>
      <c r="E323" s="11" t="s">
        <v>634</v>
      </c>
      <c r="F323" s="10" t="s">
        <v>11</v>
      </c>
      <c r="G323" s="10" t="s">
        <v>36</v>
      </c>
      <c r="H323" s="10" t="n">
        <v>7003</v>
      </c>
    </row>
    <row r="324" customFormat="false" ht="15" hidden="false" customHeight="true" outlineLevel="0" collapsed="false">
      <c r="A324" s="9" t="n">
        <v>45889</v>
      </c>
      <c r="B324" s="10" t="s">
        <v>5</v>
      </c>
      <c r="C324" s="10" t="s">
        <v>635</v>
      </c>
      <c r="D324" s="10" t="s">
        <v>54</v>
      </c>
      <c r="E324" s="11" t="s">
        <v>636</v>
      </c>
      <c r="F324" s="10" t="s">
        <v>11</v>
      </c>
      <c r="G324" s="10" t="s">
        <v>36</v>
      </c>
      <c r="H324" s="10" t="n">
        <v>7004</v>
      </c>
    </row>
    <row r="325" customFormat="false" ht="15" hidden="false" customHeight="true" outlineLevel="0" collapsed="false">
      <c r="A325" s="9" t="n">
        <v>45889</v>
      </c>
      <c r="B325" s="10" t="s">
        <v>5</v>
      </c>
      <c r="C325" s="10" t="s">
        <v>637</v>
      </c>
      <c r="D325" s="10" t="s">
        <v>54</v>
      </c>
      <c r="E325" s="11" t="s">
        <v>638</v>
      </c>
      <c r="F325" s="10" t="s">
        <v>11</v>
      </c>
      <c r="G325" s="10" t="s">
        <v>36</v>
      </c>
      <c r="H325" s="10" t="n">
        <v>7005</v>
      </c>
    </row>
    <row r="326" customFormat="false" ht="15" hidden="false" customHeight="true" outlineLevel="0" collapsed="false">
      <c r="A326" s="9" t="n">
        <v>45889</v>
      </c>
      <c r="B326" s="10" t="s">
        <v>5</v>
      </c>
      <c r="C326" s="10" t="s">
        <v>639</v>
      </c>
      <c r="D326" s="10" t="s">
        <v>38</v>
      </c>
      <c r="E326" s="11" t="s">
        <v>640</v>
      </c>
      <c r="F326" s="10" t="s">
        <v>8</v>
      </c>
      <c r="G326" s="10" t="s">
        <v>36</v>
      </c>
      <c r="H326" s="10" t="n">
        <v>7006</v>
      </c>
    </row>
    <row r="327" customFormat="false" ht="15" hidden="false" customHeight="true" outlineLevel="0" collapsed="false">
      <c r="A327" s="9" t="n">
        <v>45902</v>
      </c>
      <c r="B327" s="10" t="s">
        <v>5</v>
      </c>
      <c r="C327" s="10" t="s">
        <v>478</v>
      </c>
      <c r="D327" s="10" t="s">
        <v>38</v>
      </c>
      <c r="E327" s="11" t="s">
        <v>641</v>
      </c>
      <c r="F327" s="10" t="s">
        <v>8</v>
      </c>
      <c r="G327" s="10" t="s">
        <v>36</v>
      </c>
      <c r="H327" s="10" t="n">
        <v>7007</v>
      </c>
    </row>
    <row r="328" customFormat="false" ht="15" hidden="false" customHeight="true" outlineLevel="0" collapsed="false">
      <c r="A328" s="9" t="n">
        <v>45902</v>
      </c>
      <c r="B328" s="10" t="s">
        <v>5</v>
      </c>
      <c r="C328" s="10" t="s">
        <v>559</v>
      </c>
      <c r="D328" s="10" t="s">
        <v>50</v>
      </c>
      <c r="E328" s="11" t="s">
        <v>642</v>
      </c>
      <c r="F328" s="10" t="s">
        <v>12</v>
      </c>
      <c r="G328" s="10" t="s">
        <v>36</v>
      </c>
      <c r="H328" s="10" t="n">
        <v>7008</v>
      </c>
    </row>
    <row r="329" customFormat="false" ht="15" hidden="false" customHeight="true" outlineLevel="0" collapsed="false">
      <c r="A329" s="9" t="n">
        <v>45902</v>
      </c>
      <c r="B329" s="10" t="s">
        <v>5</v>
      </c>
      <c r="C329" s="10" t="s">
        <v>559</v>
      </c>
      <c r="D329" s="10" t="s">
        <v>50</v>
      </c>
      <c r="E329" s="11" t="s">
        <v>393</v>
      </c>
      <c r="F329" s="10" t="s">
        <v>12</v>
      </c>
      <c r="G329" s="10" t="s">
        <v>36</v>
      </c>
      <c r="H329" s="10" t="n">
        <v>7009</v>
      </c>
    </row>
    <row r="330" customFormat="false" ht="15" hidden="false" customHeight="true" outlineLevel="0" collapsed="false">
      <c r="A330" s="9" t="n">
        <v>45902</v>
      </c>
      <c r="B330" s="10" t="s">
        <v>5</v>
      </c>
      <c r="C330" s="10" t="s">
        <v>643</v>
      </c>
      <c r="D330" s="10" t="s">
        <v>38</v>
      </c>
      <c r="E330" s="11" t="s">
        <v>644</v>
      </c>
      <c r="F330" s="10" t="s">
        <v>12</v>
      </c>
      <c r="G330" s="10" t="s">
        <v>36</v>
      </c>
      <c r="H330" s="10" t="n">
        <v>7010</v>
      </c>
    </row>
    <row r="331" customFormat="false" ht="15" hidden="false" customHeight="true" outlineLevel="0" collapsed="false">
      <c r="A331" s="9" t="n">
        <v>45917</v>
      </c>
      <c r="B331" s="10" t="s">
        <v>5</v>
      </c>
      <c r="C331" s="10" t="s">
        <v>645</v>
      </c>
      <c r="D331" s="10" t="s">
        <v>97</v>
      </c>
      <c r="E331" s="11" t="s">
        <v>646</v>
      </c>
      <c r="F331" s="10" t="s">
        <v>10</v>
      </c>
      <c r="G331" s="10" t="s">
        <v>36</v>
      </c>
      <c r="H331" s="10" t="n">
        <v>7011</v>
      </c>
    </row>
    <row r="332" customFormat="false" ht="15" hidden="false" customHeight="true" outlineLevel="0" collapsed="false">
      <c r="A332" s="9" t="n">
        <v>45924</v>
      </c>
      <c r="B332" s="10" t="s">
        <v>5</v>
      </c>
      <c r="C332" s="10" t="s">
        <v>647</v>
      </c>
      <c r="D332" s="10" t="s">
        <v>38</v>
      </c>
      <c r="E332" s="11" t="s">
        <v>648</v>
      </c>
      <c r="F332" s="10" t="s">
        <v>12</v>
      </c>
      <c r="G332" s="10" t="s">
        <v>36</v>
      </c>
      <c r="H332" s="10" t="n">
        <v>7012</v>
      </c>
    </row>
    <row r="333" customFormat="false" ht="15" hidden="false" customHeight="true" outlineLevel="0" collapsed="false">
      <c r="A333" s="9" t="n">
        <v>45930</v>
      </c>
      <c r="B333" s="10" t="s">
        <v>5</v>
      </c>
      <c r="C333" s="10" t="s">
        <v>649</v>
      </c>
      <c r="D333" s="10" t="s">
        <v>38</v>
      </c>
      <c r="E333" s="11" t="s">
        <v>650</v>
      </c>
      <c r="F333" s="10" t="s">
        <v>9</v>
      </c>
      <c r="G333" s="10" t="s">
        <v>36</v>
      </c>
      <c r="H333" s="10" t="n">
        <v>7013</v>
      </c>
    </row>
    <row r="334" customFormat="false" ht="15" hidden="false" customHeight="true" outlineLevel="0" collapsed="false">
      <c r="A334" s="9" t="n">
        <v>45930</v>
      </c>
      <c r="B334" s="10" t="s">
        <v>5</v>
      </c>
      <c r="C334" s="10" t="s">
        <v>649</v>
      </c>
      <c r="D334" s="10" t="s">
        <v>38</v>
      </c>
      <c r="E334" s="11" t="s">
        <v>651</v>
      </c>
      <c r="F334" s="10" t="s">
        <v>8</v>
      </c>
      <c r="G334" s="10" t="s">
        <v>108</v>
      </c>
      <c r="H334" s="10" t="n">
        <v>7014</v>
      </c>
    </row>
    <row r="335" customFormat="false" ht="15" hidden="false" customHeight="true" outlineLevel="0" collapsed="false">
      <c r="A335" s="9" t="n">
        <v>45937</v>
      </c>
      <c r="B335" s="10" t="s">
        <v>5</v>
      </c>
      <c r="C335" s="10" t="s">
        <v>652</v>
      </c>
      <c r="D335" s="10" t="s">
        <v>38</v>
      </c>
      <c r="E335" s="11" t="s">
        <v>653</v>
      </c>
      <c r="F335" s="10" t="s">
        <v>8</v>
      </c>
      <c r="G335" s="10" t="s">
        <v>36</v>
      </c>
      <c r="H335" s="10" t="n">
        <v>7015</v>
      </c>
    </row>
    <row r="336" customFormat="false" ht="15" hidden="false" customHeight="true" outlineLevel="0" collapsed="false">
      <c r="A336" s="9" t="n">
        <v>45951</v>
      </c>
      <c r="B336" s="10" t="s">
        <v>5</v>
      </c>
      <c r="C336" s="10" t="s">
        <v>654</v>
      </c>
      <c r="D336" s="10" t="s">
        <v>43</v>
      </c>
      <c r="E336" s="11" t="s">
        <v>655</v>
      </c>
      <c r="F336" s="10" t="s">
        <v>9</v>
      </c>
      <c r="G336" s="10" t="s">
        <v>36</v>
      </c>
      <c r="H336" s="10" t="n">
        <v>7016</v>
      </c>
    </row>
    <row r="337" customFormat="false" ht="15" hidden="false" customHeight="true" outlineLevel="0" collapsed="false">
      <c r="A337" s="9" t="n">
        <v>45952</v>
      </c>
      <c r="B337" s="10" t="s">
        <v>5</v>
      </c>
      <c r="C337" s="10" t="s">
        <v>656</v>
      </c>
      <c r="D337" s="10" t="s">
        <v>38</v>
      </c>
      <c r="E337" s="11" t="s">
        <v>657</v>
      </c>
      <c r="F337" s="10" t="s">
        <v>8</v>
      </c>
      <c r="G337" s="10" t="s">
        <v>36</v>
      </c>
      <c r="H337" s="10" t="n">
        <v>7017</v>
      </c>
    </row>
    <row r="338" customFormat="false" ht="15" hidden="false" customHeight="true" outlineLevel="0" collapsed="false">
      <c r="A338" s="9" t="n">
        <v>45973</v>
      </c>
      <c r="B338" s="10" t="s">
        <v>5</v>
      </c>
      <c r="C338" s="10" t="s">
        <v>658</v>
      </c>
      <c r="D338" s="10" t="s">
        <v>54</v>
      </c>
      <c r="E338" s="11" t="s">
        <v>659</v>
      </c>
      <c r="F338" s="10" t="s">
        <v>12</v>
      </c>
      <c r="G338" s="10" t="s">
        <v>36</v>
      </c>
      <c r="H338" s="10" t="n">
        <v>7018</v>
      </c>
    </row>
    <row r="339" customFormat="false" ht="15" hidden="false" customHeight="true" outlineLevel="0" collapsed="false">
      <c r="A339" s="9" t="n">
        <v>45973</v>
      </c>
      <c r="B339" s="10" t="s">
        <v>5</v>
      </c>
      <c r="C339" s="10" t="s">
        <v>660</v>
      </c>
      <c r="D339" s="10" t="s">
        <v>54</v>
      </c>
      <c r="E339" s="11" t="s">
        <v>661</v>
      </c>
      <c r="F339" s="10" t="s">
        <v>12</v>
      </c>
      <c r="G339" s="10" t="s">
        <v>36</v>
      </c>
      <c r="H339" s="10" t="n">
        <v>7019</v>
      </c>
    </row>
    <row r="340" customFormat="false" ht="15" hidden="false" customHeight="true" outlineLevel="0" collapsed="false">
      <c r="A340" s="9" t="n">
        <v>45973</v>
      </c>
      <c r="B340" s="10" t="s">
        <v>5</v>
      </c>
      <c r="C340" s="10" t="s">
        <v>662</v>
      </c>
      <c r="D340" s="10" t="s">
        <v>54</v>
      </c>
      <c r="E340" s="11" t="s">
        <v>302</v>
      </c>
      <c r="F340" s="10" t="s">
        <v>11</v>
      </c>
      <c r="G340" s="10" t="s">
        <v>36</v>
      </c>
      <c r="H340" s="10" t="n">
        <v>7020</v>
      </c>
    </row>
    <row r="341" customFormat="false" ht="15" hidden="false" customHeight="true" outlineLevel="0" collapsed="false">
      <c r="A341" s="9" t="n">
        <v>45973</v>
      </c>
      <c r="B341" s="10" t="s">
        <v>5</v>
      </c>
      <c r="C341" s="10" t="s">
        <v>663</v>
      </c>
      <c r="D341" s="10" t="s">
        <v>54</v>
      </c>
      <c r="E341" s="11" t="s">
        <v>664</v>
      </c>
      <c r="F341" s="10" t="s">
        <v>11</v>
      </c>
      <c r="G341" s="10" t="s">
        <v>36</v>
      </c>
      <c r="H341" s="10" t="n">
        <v>7021</v>
      </c>
    </row>
    <row r="342" customFormat="false" ht="15" hidden="false" customHeight="true" outlineLevel="0" collapsed="false">
      <c r="A342" s="9" t="n">
        <v>45973</v>
      </c>
      <c r="B342" s="10" t="s">
        <v>5</v>
      </c>
      <c r="C342" s="10" t="s">
        <v>665</v>
      </c>
      <c r="D342" s="10" t="s">
        <v>54</v>
      </c>
      <c r="E342" s="11" t="s">
        <v>282</v>
      </c>
      <c r="F342" s="10" t="s">
        <v>11</v>
      </c>
      <c r="G342" s="10" t="s">
        <v>36</v>
      </c>
      <c r="H342" s="10" t="n">
        <v>7022</v>
      </c>
    </row>
    <row r="343" customFormat="false" ht="15" hidden="false" customHeight="true" outlineLevel="0" collapsed="false">
      <c r="A343" s="9" t="n">
        <v>45973</v>
      </c>
      <c r="B343" s="10" t="s">
        <v>5</v>
      </c>
      <c r="C343" s="10" t="s">
        <v>666</v>
      </c>
      <c r="D343" s="10" t="s">
        <v>54</v>
      </c>
      <c r="E343" s="11" t="s">
        <v>667</v>
      </c>
      <c r="F343" s="10" t="s">
        <v>11</v>
      </c>
      <c r="G343" s="10" t="s">
        <v>36</v>
      </c>
      <c r="H343" s="10" t="n">
        <v>7023</v>
      </c>
    </row>
    <row r="344" customFormat="false" ht="15" hidden="false" customHeight="true" outlineLevel="0" collapsed="false">
      <c r="A344" s="9" t="n">
        <v>45973</v>
      </c>
      <c r="B344" s="10" t="s">
        <v>5</v>
      </c>
      <c r="C344" s="10" t="s">
        <v>668</v>
      </c>
      <c r="D344" s="10" t="s">
        <v>54</v>
      </c>
      <c r="E344" s="11" t="s">
        <v>669</v>
      </c>
      <c r="F344" s="10" t="s">
        <v>11</v>
      </c>
      <c r="G344" s="10" t="s">
        <v>36</v>
      </c>
      <c r="H344" s="10" t="n">
        <v>7024</v>
      </c>
    </row>
    <row r="345" customFormat="false" ht="15" hidden="false" customHeight="true" outlineLevel="0" collapsed="false">
      <c r="A345" s="9" t="n">
        <v>45973</v>
      </c>
      <c r="B345" s="10" t="s">
        <v>5</v>
      </c>
      <c r="C345" s="10" t="s">
        <v>670</v>
      </c>
      <c r="D345" s="10" t="s">
        <v>54</v>
      </c>
      <c r="E345" s="11" t="s">
        <v>278</v>
      </c>
      <c r="F345" s="10" t="s">
        <v>11</v>
      </c>
      <c r="G345" s="10" t="s">
        <v>36</v>
      </c>
      <c r="H345" s="10" t="n">
        <v>7025</v>
      </c>
    </row>
    <row r="346" customFormat="false" ht="15" hidden="false" customHeight="true" outlineLevel="0" collapsed="false">
      <c r="A346" s="9" t="n">
        <v>45973</v>
      </c>
      <c r="B346" s="10" t="s">
        <v>5</v>
      </c>
      <c r="C346" s="10" t="s">
        <v>671</v>
      </c>
      <c r="D346" s="10" t="s">
        <v>54</v>
      </c>
      <c r="E346" s="11" t="s">
        <v>672</v>
      </c>
      <c r="F346" s="10" t="s">
        <v>11</v>
      </c>
      <c r="G346" s="10" t="s">
        <v>36</v>
      </c>
      <c r="H346" s="10" t="n">
        <v>7026</v>
      </c>
    </row>
    <row r="347" customFormat="false" ht="15" hidden="false" customHeight="true" outlineLevel="0" collapsed="false">
      <c r="A347" s="9" t="n">
        <v>45973</v>
      </c>
      <c r="B347" s="10" t="s">
        <v>5</v>
      </c>
      <c r="C347" s="10" t="s">
        <v>673</v>
      </c>
      <c r="D347" s="10" t="s">
        <v>54</v>
      </c>
      <c r="E347" s="11" t="s">
        <v>674</v>
      </c>
      <c r="F347" s="10" t="s">
        <v>11</v>
      </c>
      <c r="G347" s="10" t="s">
        <v>36</v>
      </c>
      <c r="H347" s="10" t="n">
        <v>7027</v>
      </c>
    </row>
    <row r="348" customFormat="false" ht="15" hidden="false" customHeight="true" outlineLevel="0" collapsed="false">
      <c r="A348" s="9" t="n">
        <v>45973</v>
      </c>
      <c r="B348" s="10" t="s">
        <v>5</v>
      </c>
      <c r="C348" s="10" t="s">
        <v>675</v>
      </c>
      <c r="D348" s="10" t="s">
        <v>54</v>
      </c>
      <c r="E348" s="11" t="s">
        <v>676</v>
      </c>
      <c r="F348" s="10" t="s">
        <v>11</v>
      </c>
      <c r="G348" s="10" t="s">
        <v>36</v>
      </c>
      <c r="H348" s="10" t="n">
        <v>7028</v>
      </c>
    </row>
    <row r="349" customFormat="false" ht="15" hidden="false" customHeight="true" outlineLevel="0" collapsed="false">
      <c r="A349" s="9" t="n">
        <v>45986</v>
      </c>
      <c r="B349" s="10" t="s">
        <v>5</v>
      </c>
      <c r="C349" s="10" t="s">
        <v>677</v>
      </c>
      <c r="D349" s="10" t="s">
        <v>38</v>
      </c>
      <c r="E349" s="11" t="s">
        <v>678</v>
      </c>
      <c r="F349" s="10" t="s">
        <v>8</v>
      </c>
      <c r="G349" s="10" t="s">
        <v>36</v>
      </c>
      <c r="H349" s="10" t="n">
        <v>7029</v>
      </c>
    </row>
    <row r="350" customFormat="false" ht="15" hidden="false" customHeight="true" outlineLevel="0" collapsed="false">
      <c r="A350" s="9" t="n">
        <v>45994</v>
      </c>
      <c r="B350" s="10" t="s">
        <v>5</v>
      </c>
      <c r="C350" s="10" t="s">
        <v>679</v>
      </c>
      <c r="D350" s="10" t="s">
        <v>38</v>
      </c>
      <c r="E350" s="11" t="s">
        <v>680</v>
      </c>
      <c r="F350" s="10" t="s">
        <v>9</v>
      </c>
      <c r="G350" s="10" t="s">
        <v>36</v>
      </c>
      <c r="H350" s="10" t="n">
        <v>7030</v>
      </c>
    </row>
    <row r="351" customFormat="false" ht="15" hidden="false" customHeight="true" outlineLevel="0" collapsed="false">
      <c r="A351" s="9" t="n">
        <v>46000</v>
      </c>
      <c r="B351" s="10" t="s">
        <v>5</v>
      </c>
      <c r="C351" s="10" t="s">
        <v>681</v>
      </c>
      <c r="D351" s="10" t="s">
        <v>196</v>
      </c>
      <c r="E351" s="11" t="s">
        <v>682</v>
      </c>
      <c r="F351" s="10" t="s">
        <v>8</v>
      </c>
      <c r="G351" s="10" t="s">
        <v>36</v>
      </c>
      <c r="H351" s="10" t="n">
        <v>7031</v>
      </c>
    </row>
    <row r="352" customFormat="false" ht="15" hidden="false" customHeight="true" outlineLevel="0" collapsed="false">
      <c r="A352" s="9" t="n">
        <v>46000</v>
      </c>
      <c r="B352" s="10" t="s">
        <v>5</v>
      </c>
      <c r="C352" s="10" t="s">
        <v>683</v>
      </c>
      <c r="D352" s="10" t="s">
        <v>50</v>
      </c>
      <c r="E352" s="11" t="s">
        <v>684</v>
      </c>
      <c r="F352" s="10" t="s">
        <v>8</v>
      </c>
      <c r="G352" s="10" t="s">
        <v>36</v>
      </c>
      <c r="H352" s="10" t="n">
        <v>7032</v>
      </c>
    </row>
    <row r="353" customFormat="false" ht="15" hidden="false" customHeight="true" outlineLevel="0" collapsed="false">
      <c r="A353" s="9" t="n">
        <v>46000</v>
      </c>
      <c r="B353" s="10" t="s">
        <v>5</v>
      </c>
      <c r="C353" s="10" t="s">
        <v>683</v>
      </c>
      <c r="D353" s="10" t="s">
        <v>50</v>
      </c>
      <c r="E353" s="11" t="s">
        <v>685</v>
      </c>
      <c r="F353" s="10" t="s">
        <v>8</v>
      </c>
      <c r="G353" s="10" t="s">
        <v>36</v>
      </c>
      <c r="H353" s="10" t="n">
        <v>7033</v>
      </c>
    </row>
    <row r="354" customFormat="false" ht="15" hidden="false" customHeight="true" outlineLevel="0" collapsed="false">
      <c r="A354" s="9" t="n">
        <v>46000</v>
      </c>
      <c r="B354" s="10" t="s">
        <v>5</v>
      </c>
      <c r="C354" s="10" t="s">
        <v>683</v>
      </c>
      <c r="D354" s="10" t="s">
        <v>50</v>
      </c>
      <c r="E354" s="11" t="s">
        <v>686</v>
      </c>
      <c r="F354" s="10" t="s">
        <v>8</v>
      </c>
      <c r="G354" s="10" t="s">
        <v>36</v>
      </c>
      <c r="H354" s="10" t="n">
        <v>7034</v>
      </c>
    </row>
    <row r="355" customFormat="false" ht="15" hidden="false" customHeight="true" outlineLevel="0" collapsed="false">
      <c r="A355" s="9" t="n">
        <v>46001</v>
      </c>
      <c r="B355" s="10" t="s">
        <v>5</v>
      </c>
      <c r="C355" s="10" t="s">
        <v>687</v>
      </c>
      <c r="D355" s="10" t="s">
        <v>50</v>
      </c>
      <c r="E355" s="11" t="s">
        <v>688</v>
      </c>
      <c r="F355" s="10" t="s">
        <v>8</v>
      </c>
      <c r="G355" s="10" t="s">
        <v>36</v>
      </c>
      <c r="H355" s="10" t="n">
        <v>7035</v>
      </c>
    </row>
    <row r="356" customFormat="false" ht="15" hidden="false" customHeight="true" outlineLevel="0" collapsed="false">
      <c r="A356" s="9" t="n">
        <v>46001</v>
      </c>
      <c r="B356" s="10" t="s">
        <v>5</v>
      </c>
      <c r="C356" s="10" t="s">
        <v>687</v>
      </c>
      <c r="D356" s="10" t="s">
        <v>50</v>
      </c>
      <c r="E356" s="11" t="s">
        <v>689</v>
      </c>
      <c r="F356" s="10" t="s">
        <v>8</v>
      </c>
      <c r="G356" s="10" t="s">
        <v>36</v>
      </c>
      <c r="H356" s="10" t="n">
        <v>7036</v>
      </c>
    </row>
    <row r="357" customFormat="false" ht="15" hidden="false" customHeight="true" outlineLevel="0" collapsed="false">
      <c r="A357" s="9" t="n">
        <v>46001</v>
      </c>
      <c r="B357" s="10" t="s">
        <v>5</v>
      </c>
      <c r="C357" s="10" t="s">
        <v>690</v>
      </c>
      <c r="D357" s="10" t="s">
        <v>43</v>
      </c>
      <c r="E357" s="11" t="s">
        <v>691</v>
      </c>
      <c r="F357" s="10" t="s">
        <v>8</v>
      </c>
      <c r="G357" s="10" t="s">
        <v>36</v>
      </c>
      <c r="H357" s="10" t="n">
        <v>7037</v>
      </c>
    </row>
    <row r="358" customFormat="false" ht="15" hidden="false" customHeight="true" outlineLevel="0" collapsed="false">
      <c r="A358" s="9" t="n">
        <v>46007</v>
      </c>
      <c r="B358" s="10" t="s">
        <v>5</v>
      </c>
      <c r="C358" s="10" t="s">
        <v>692</v>
      </c>
      <c r="D358" s="10" t="s">
        <v>38</v>
      </c>
      <c r="E358" s="11" t="s">
        <v>693</v>
      </c>
      <c r="F358" s="10" t="s">
        <v>8</v>
      </c>
      <c r="G358" s="10" t="s">
        <v>36</v>
      </c>
      <c r="H358" s="10" t="n">
        <v>7038</v>
      </c>
    </row>
    <row r="359" customFormat="false" ht="15" hidden="false" customHeight="true" outlineLevel="0" collapsed="false">
      <c r="A359" s="9" t="n">
        <v>46007</v>
      </c>
      <c r="B359" s="10" t="s">
        <v>5</v>
      </c>
      <c r="C359" s="10" t="s">
        <v>694</v>
      </c>
      <c r="D359" s="10" t="s">
        <v>50</v>
      </c>
      <c r="E359" s="11" t="s">
        <v>695</v>
      </c>
      <c r="F359" s="10" t="s">
        <v>12</v>
      </c>
      <c r="G359" s="10" t="s">
        <v>36</v>
      </c>
      <c r="H359" s="10" t="n">
        <v>7039</v>
      </c>
    </row>
    <row r="360" customFormat="false" ht="15" hidden="false" customHeight="true" outlineLevel="0" collapsed="false">
      <c r="A360" s="9" t="n">
        <v>46007</v>
      </c>
      <c r="B360" s="10" t="s">
        <v>5</v>
      </c>
      <c r="C360" s="10" t="s">
        <v>694</v>
      </c>
      <c r="D360" s="10" t="s">
        <v>50</v>
      </c>
      <c r="E360" s="11" t="s">
        <v>696</v>
      </c>
      <c r="F360" s="10" t="s">
        <v>8</v>
      </c>
      <c r="G360" s="10" t="s">
        <v>36</v>
      </c>
      <c r="H360" s="10" t="n">
        <v>7040</v>
      </c>
    </row>
    <row r="361" customFormat="false" ht="15" hidden="false" customHeight="true" outlineLevel="0" collapsed="false">
      <c r="A361" s="9" t="n">
        <v>46008</v>
      </c>
      <c r="B361" s="10" t="s">
        <v>5</v>
      </c>
      <c r="C361" s="10" t="s">
        <v>697</v>
      </c>
      <c r="D361" s="10" t="s">
        <v>43</v>
      </c>
      <c r="E361" s="11" t="s">
        <v>698</v>
      </c>
      <c r="F361" s="10" t="s">
        <v>8</v>
      </c>
      <c r="G361" s="10" t="s">
        <v>36</v>
      </c>
      <c r="H361" s="10" t="n">
        <v>7041</v>
      </c>
    </row>
    <row r="362" customFormat="false" ht="15" hidden="false" customHeight="true" outlineLevel="0" collapsed="false">
      <c r="A362" s="9" t="n">
        <v>46008</v>
      </c>
      <c r="B362" s="10" t="s">
        <v>5</v>
      </c>
      <c r="C362" s="10" t="s">
        <v>699</v>
      </c>
      <c r="D362" s="10" t="s">
        <v>38</v>
      </c>
      <c r="E362" s="11" t="s">
        <v>700</v>
      </c>
      <c r="F362" s="10" t="s">
        <v>12</v>
      </c>
      <c r="G362" s="10" t="s">
        <v>36</v>
      </c>
      <c r="H362" s="10" t="n">
        <v>7042</v>
      </c>
    </row>
    <row r="363" customFormat="false" ht="15" hidden="false" customHeight="true" outlineLevel="0" collapsed="false">
      <c r="A363" s="9" t="n">
        <v>46008</v>
      </c>
      <c r="B363" s="10" t="s">
        <v>5</v>
      </c>
      <c r="C363" s="10" t="s">
        <v>699</v>
      </c>
      <c r="D363" s="10" t="s">
        <v>38</v>
      </c>
      <c r="E363" s="11" t="s">
        <v>701</v>
      </c>
      <c r="F363" s="10" t="s">
        <v>9</v>
      </c>
      <c r="G363" s="10" t="s">
        <v>36</v>
      </c>
      <c r="H363" s="10" t="n">
        <v>7043</v>
      </c>
    </row>
    <row r="364" customFormat="false" ht="15" hidden="false" customHeight="true" outlineLevel="0" collapsed="false">
      <c r="A364" s="9" t="n">
        <v>46008</v>
      </c>
      <c r="B364" s="10" t="s">
        <v>5</v>
      </c>
      <c r="C364" s="10" t="s">
        <v>702</v>
      </c>
      <c r="D364" s="10" t="s">
        <v>43</v>
      </c>
      <c r="E364" s="11" t="s">
        <v>703</v>
      </c>
      <c r="F364" s="10" t="s">
        <v>9</v>
      </c>
      <c r="G364" s="10" t="s">
        <v>108</v>
      </c>
      <c r="H364" s="10" t="n">
        <v>7045</v>
      </c>
    </row>
    <row r="365" customFormat="false" ht="15" hidden="false" customHeight="true" outlineLevel="0" collapsed="false">
      <c r="A365" s="9" t="n">
        <v>46008</v>
      </c>
      <c r="B365" s="10" t="s">
        <v>5</v>
      </c>
      <c r="C365" s="10" t="s">
        <v>704</v>
      </c>
      <c r="D365" s="10" t="s">
        <v>196</v>
      </c>
      <c r="E365" s="11" t="s">
        <v>705</v>
      </c>
      <c r="F365" s="10" t="s">
        <v>9</v>
      </c>
      <c r="G365" s="10" t="s">
        <v>108</v>
      </c>
      <c r="H365" s="10" t="n">
        <v>7046</v>
      </c>
    </row>
    <row r="366" customFormat="false" ht="15" hidden="false" customHeight="true" outlineLevel="0" collapsed="false">
      <c r="A366" s="9" t="n">
        <v>46077</v>
      </c>
      <c r="B366" s="10" t="s">
        <v>6</v>
      </c>
      <c r="C366" s="10" t="s">
        <v>706</v>
      </c>
      <c r="D366" s="10" t="s">
        <v>50</v>
      </c>
      <c r="E366" s="11" t="s">
        <v>707</v>
      </c>
      <c r="F366" s="10" t="s">
        <v>12</v>
      </c>
      <c r="G366" s="10" t="s">
        <v>36</v>
      </c>
      <c r="H366" s="10" t="n">
        <v>7047</v>
      </c>
    </row>
    <row r="367" customFormat="false" ht="15" hidden="false" customHeight="true" outlineLevel="0" collapsed="false">
      <c r="A367" s="9" t="n">
        <v>46077</v>
      </c>
      <c r="B367" s="10" t="s">
        <v>6</v>
      </c>
      <c r="C367" s="10" t="s">
        <v>706</v>
      </c>
      <c r="D367" s="10" t="s">
        <v>50</v>
      </c>
      <c r="E367" s="11" t="s">
        <v>708</v>
      </c>
      <c r="F367" s="10" t="s">
        <v>8</v>
      </c>
      <c r="G367" s="10" t="s">
        <v>36</v>
      </c>
      <c r="H367" s="10" t="n">
        <v>7048</v>
      </c>
    </row>
    <row r="368" customFormat="false" ht="15" hidden="false" customHeight="true" outlineLevel="0" collapsed="false">
      <c r="A368" s="9" t="n">
        <v>46078</v>
      </c>
      <c r="B368" s="10" t="s">
        <v>6</v>
      </c>
      <c r="C368" s="10" t="s">
        <v>709</v>
      </c>
      <c r="D368" s="10" t="s">
        <v>38</v>
      </c>
      <c r="E368" s="11" t="s">
        <v>710</v>
      </c>
      <c r="F368" s="10" t="s">
        <v>15</v>
      </c>
      <c r="G368" s="10" t="s">
        <v>36</v>
      </c>
      <c r="H368" s="10" t="n">
        <v>7049</v>
      </c>
    </row>
    <row r="369" customFormat="false" ht="15" hidden="false" customHeight="true" outlineLevel="0" collapsed="false">
      <c r="A369" s="9" t="n">
        <v>46105</v>
      </c>
      <c r="B369" s="10" t="s">
        <v>6</v>
      </c>
      <c r="C369" s="10" t="s">
        <v>711</v>
      </c>
      <c r="D369" s="10" t="s">
        <v>43</v>
      </c>
      <c r="E369" s="11" t="s">
        <v>712</v>
      </c>
      <c r="F369" s="10" t="s">
        <v>8</v>
      </c>
      <c r="G369" s="10" t="s">
        <v>36</v>
      </c>
      <c r="H369" s="10" t="n">
        <v>7050</v>
      </c>
    </row>
    <row r="370" customFormat="false" ht="15" hidden="false" customHeight="true" outlineLevel="0" collapsed="false">
      <c r="A370" s="9" t="n">
        <v>46105</v>
      </c>
      <c r="B370" s="10" t="s">
        <v>6</v>
      </c>
      <c r="C370" s="10" t="s">
        <v>713</v>
      </c>
      <c r="D370" s="10" t="s">
        <v>38</v>
      </c>
      <c r="E370" s="11" t="s">
        <v>714</v>
      </c>
      <c r="F370" s="10" t="s">
        <v>12</v>
      </c>
      <c r="G370" s="10" t="s">
        <v>36</v>
      </c>
      <c r="H370" s="10" t="n">
        <v>7051</v>
      </c>
    </row>
    <row r="371" customFormat="false" ht="15" hidden="false" customHeight="true" outlineLevel="0" collapsed="false">
      <c r="A371" s="9" t="n">
        <v>46106</v>
      </c>
      <c r="B371" s="10" t="s">
        <v>6</v>
      </c>
      <c r="C371" s="10" t="s">
        <v>715</v>
      </c>
      <c r="D371" s="10" t="s">
        <v>38</v>
      </c>
      <c r="E371" s="11" t="s">
        <v>715</v>
      </c>
      <c r="F371" s="10" t="s">
        <v>8</v>
      </c>
      <c r="G371" s="10" t="s">
        <v>36</v>
      </c>
      <c r="H371" s="10" t="n">
        <v>7052</v>
      </c>
    </row>
    <row r="372" customFormat="false" ht="15" hidden="false" customHeight="true" outlineLevel="0" collapsed="false">
      <c r="A372" s="9" t="n">
        <v>46120</v>
      </c>
      <c r="B372" s="10" t="s">
        <v>6</v>
      </c>
      <c r="C372" s="10" t="s">
        <v>716</v>
      </c>
      <c r="D372" s="10" t="s">
        <v>54</v>
      </c>
      <c r="E372" s="11" t="s">
        <v>717</v>
      </c>
      <c r="F372" s="10" t="s">
        <v>11</v>
      </c>
      <c r="G372" s="10" t="s">
        <v>36</v>
      </c>
      <c r="H372" s="10" t="n">
        <v>7053</v>
      </c>
    </row>
    <row r="373" customFormat="false" ht="15" hidden="false" customHeight="true" outlineLevel="0" collapsed="false">
      <c r="A373" s="9" t="n">
        <v>46120</v>
      </c>
      <c r="B373" s="10" t="s">
        <v>6</v>
      </c>
      <c r="C373" s="10" t="s">
        <v>718</v>
      </c>
      <c r="D373" s="10" t="s">
        <v>54</v>
      </c>
      <c r="E373" s="11" t="s">
        <v>719</v>
      </c>
      <c r="F373" s="10" t="s">
        <v>12</v>
      </c>
      <c r="G373" s="10" t="s">
        <v>36</v>
      </c>
      <c r="H373" s="10" t="n">
        <v>7054</v>
      </c>
    </row>
    <row r="374" customFormat="false" ht="15" hidden="false" customHeight="true" outlineLevel="0" collapsed="false">
      <c r="A374" s="9" t="n">
        <v>46120</v>
      </c>
      <c r="B374" s="10" t="s">
        <v>6</v>
      </c>
      <c r="C374" s="10" t="s">
        <v>720</v>
      </c>
      <c r="D374" s="10" t="s">
        <v>54</v>
      </c>
      <c r="E374" s="11" t="s">
        <v>721</v>
      </c>
      <c r="F374" s="10" t="s">
        <v>11</v>
      </c>
      <c r="G374" s="10" t="s">
        <v>36</v>
      </c>
      <c r="H374" s="10" t="n">
        <v>7055</v>
      </c>
    </row>
    <row r="375" customFormat="false" ht="15" hidden="false" customHeight="true" outlineLevel="0" collapsed="false">
      <c r="A375" s="9" t="n">
        <v>46120</v>
      </c>
      <c r="B375" s="10" t="s">
        <v>6</v>
      </c>
      <c r="C375" s="10" t="s">
        <v>722</v>
      </c>
      <c r="D375" s="10" t="s">
        <v>54</v>
      </c>
      <c r="E375" s="11" t="s">
        <v>723</v>
      </c>
      <c r="F375" s="10" t="s">
        <v>12</v>
      </c>
      <c r="G375" s="10" t="s">
        <v>36</v>
      </c>
      <c r="H375" s="10" t="n">
        <v>7056</v>
      </c>
    </row>
    <row r="376" customFormat="false" ht="15" hidden="false" customHeight="true" outlineLevel="0" collapsed="false">
      <c r="A376" s="9" t="n">
        <v>46120</v>
      </c>
      <c r="B376" s="10" t="s">
        <v>6</v>
      </c>
      <c r="C376" s="10" t="s">
        <v>724</v>
      </c>
      <c r="D376" s="10" t="s">
        <v>54</v>
      </c>
      <c r="E376" s="11" t="s">
        <v>725</v>
      </c>
      <c r="F376" s="10" t="s">
        <v>12</v>
      </c>
      <c r="G376" s="10" t="s">
        <v>36</v>
      </c>
      <c r="H376" s="10" t="n">
        <v>7057</v>
      </c>
    </row>
    <row r="377" customFormat="false" ht="15" hidden="false" customHeight="true" outlineLevel="0" collapsed="false">
      <c r="A377" s="9" t="n">
        <v>46126</v>
      </c>
      <c r="B377" s="10" t="s">
        <v>6</v>
      </c>
      <c r="C377" s="10" t="s">
        <v>726</v>
      </c>
      <c r="D377" s="10" t="s">
        <v>54</v>
      </c>
      <c r="E377" s="11" t="s">
        <v>727</v>
      </c>
      <c r="F377" s="10" t="s">
        <v>11</v>
      </c>
      <c r="G377" s="10" t="s">
        <v>36</v>
      </c>
      <c r="H377" s="10" t="n">
        <v>7058</v>
      </c>
    </row>
    <row r="378" customFormat="false" ht="15" hidden="false" customHeight="true" outlineLevel="0" collapsed="false">
      <c r="A378" s="9" t="n">
        <v>46126</v>
      </c>
      <c r="B378" s="10" t="s">
        <v>6</v>
      </c>
      <c r="C378" s="10" t="s">
        <v>728</v>
      </c>
      <c r="D378" s="10" t="s">
        <v>54</v>
      </c>
      <c r="E378" s="11" t="s">
        <v>729</v>
      </c>
      <c r="F378" s="10" t="s">
        <v>12</v>
      </c>
      <c r="G378" s="10" t="s">
        <v>36</v>
      </c>
      <c r="H378" s="10" t="n">
        <v>7059</v>
      </c>
    </row>
    <row r="379" customFormat="false" ht="15" hidden="false" customHeight="true" outlineLevel="0" collapsed="false">
      <c r="A379" s="9" t="n">
        <v>46126</v>
      </c>
      <c r="B379" s="10" t="s">
        <v>6</v>
      </c>
      <c r="C379" s="10" t="s">
        <v>730</v>
      </c>
      <c r="D379" s="10" t="s">
        <v>54</v>
      </c>
      <c r="E379" s="11" t="s">
        <v>731</v>
      </c>
      <c r="F379" s="10" t="s">
        <v>12</v>
      </c>
      <c r="G379" s="10" t="s">
        <v>36</v>
      </c>
      <c r="H379" s="10" t="n">
        <v>7060</v>
      </c>
    </row>
    <row r="380" customFormat="false" ht="15" hidden="false" customHeight="true" outlineLevel="0" collapsed="false">
      <c r="A380" s="9" t="n">
        <v>46126</v>
      </c>
      <c r="B380" s="10" t="s">
        <v>6</v>
      </c>
      <c r="C380" s="10" t="s">
        <v>732</v>
      </c>
      <c r="D380" s="10" t="s">
        <v>54</v>
      </c>
      <c r="E380" s="11" t="s">
        <v>733</v>
      </c>
      <c r="F380" s="10" t="s">
        <v>12</v>
      </c>
      <c r="G380" s="10" t="s">
        <v>36</v>
      </c>
      <c r="H380" s="10" t="n">
        <v>7061</v>
      </c>
    </row>
    <row r="381" customFormat="false" ht="15" hidden="false" customHeight="true" outlineLevel="0" collapsed="false">
      <c r="A381" s="9" t="n">
        <v>46127</v>
      </c>
      <c r="B381" s="10" t="s">
        <v>6</v>
      </c>
      <c r="C381" s="10" t="s">
        <v>734</v>
      </c>
      <c r="D381" s="10" t="s">
        <v>34</v>
      </c>
      <c r="E381" s="11" t="s">
        <v>735</v>
      </c>
      <c r="F381" s="10" t="s">
        <v>11</v>
      </c>
      <c r="G381" s="10" t="s">
        <v>36</v>
      </c>
      <c r="H381" s="10" t="n">
        <v>7062</v>
      </c>
    </row>
    <row r="382" customFormat="false" ht="15" hidden="false" customHeight="true" outlineLevel="0" collapsed="false">
      <c r="A382" s="9" t="n">
        <v>46127</v>
      </c>
      <c r="B382" s="10" t="s">
        <v>6</v>
      </c>
      <c r="C382" s="10" t="s">
        <v>736</v>
      </c>
      <c r="D382" s="10" t="s">
        <v>54</v>
      </c>
      <c r="E382" s="11" t="s">
        <v>737</v>
      </c>
      <c r="F382" s="10" t="s">
        <v>11</v>
      </c>
      <c r="G382" s="10" t="s">
        <v>36</v>
      </c>
      <c r="H382" s="10" t="n">
        <v>7063</v>
      </c>
    </row>
    <row r="383" customFormat="false" ht="15" hidden="false" customHeight="true" outlineLevel="0" collapsed="false">
      <c r="A383" s="9" t="n">
        <v>46127</v>
      </c>
      <c r="B383" s="10" t="s">
        <v>6</v>
      </c>
      <c r="C383" s="10" t="s">
        <v>738</v>
      </c>
      <c r="D383" s="10" t="s">
        <v>54</v>
      </c>
      <c r="E383" s="11" t="s">
        <v>739</v>
      </c>
      <c r="F383" s="10" t="s">
        <v>11</v>
      </c>
      <c r="G383" s="10" t="s">
        <v>36</v>
      </c>
      <c r="H383" s="10" t="n">
        <v>7064</v>
      </c>
    </row>
    <row r="384" customFormat="false" ht="15" hidden="false" customHeight="true" outlineLevel="0" collapsed="false">
      <c r="A384" s="9" t="n">
        <v>46127</v>
      </c>
      <c r="B384" s="10" t="s">
        <v>6</v>
      </c>
      <c r="C384" s="10" t="s">
        <v>740</v>
      </c>
      <c r="D384" s="10" t="s">
        <v>54</v>
      </c>
      <c r="E384" s="11" t="s">
        <v>741</v>
      </c>
      <c r="F384" s="10" t="s">
        <v>11</v>
      </c>
      <c r="G384" s="10" t="s">
        <v>36</v>
      </c>
      <c r="H384" s="10" t="n">
        <v>7065</v>
      </c>
    </row>
    <row r="385" customFormat="false" ht="15" hidden="false" customHeight="true" outlineLevel="0" collapsed="false">
      <c r="A385" s="9" t="n">
        <v>46127</v>
      </c>
      <c r="B385" s="10" t="s">
        <v>6</v>
      </c>
      <c r="C385" s="10" t="s">
        <v>742</v>
      </c>
      <c r="D385" s="10" t="s">
        <v>54</v>
      </c>
      <c r="E385" s="11" t="s">
        <v>743</v>
      </c>
      <c r="F385" s="10" t="s">
        <v>11</v>
      </c>
      <c r="G385" s="10" t="s">
        <v>36</v>
      </c>
      <c r="H385" s="10" t="n">
        <v>7066</v>
      </c>
    </row>
    <row r="386" customFormat="false" ht="15" hidden="false" customHeight="true" outlineLevel="0" collapsed="false">
      <c r="A386" s="9" t="n">
        <v>46127</v>
      </c>
      <c r="B386" s="10" t="s">
        <v>6</v>
      </c>
      <c r="C386" s="10" t="s">
        <v>744</v>
      </c>
      <c r="D386" s="10" t="s">
        <v>54</v>
      </c>
      <c r="E386" s="11" t="s">
        <v>745</v>
      </c>
      <c r="F386" s="10" t="s">
        <v>11</v>
      </c>
      <c r="G386" s="10" t="s">
        <v>36</v>
      </c>
      <c r="H386" s="10" t="n">
        <v>7067</v>
      </c>
    </row>
    <row r="387" customFormat="false" ht="15" hidden="false" customHeight="true" outlineLevel="0" collapsed="false">
      <c r="A387" s="9" t="n">
        <v>46127</v>
      </c>
      <c r="B387" s="10" t="s">
        <v>6</v>
      </c>
      <c r="C387" s="10" t="s">
        <v>746</v>
      </c>
      <c r="D387" s="10" t="s">
        <v>54</v>
      </c>
      <c r="E387" s="11" t="s">
        <v>747</v>
      </c>
      <c r="F387" s="10" t="s">
        <v>11</v>
      </c>
      <c r="G387" s="10" t="s">
        <v>36</v>
      </c>
      <c r="H387" s="10" t="n">
        <v>7068</v>
      </c>
    </row>
    <row r="388" customFormat="false" ht="15" hidden="false" customHeight="true" outlineLevel="0" collapsed="false">
      <c r="A388" s="9" t="n">
        <v>46140</v>
      </c>
      <c r="B388" s="10" t="s">
        <v>6</v>
      </c>
      <c r="C388" s="10" t="s">
        <v>748</v>
      </c>
      <c r="D388" s="10" t="s">
        <v>54</v>
      </c>
      <c r="E388" s="11" t="s">
        <v>749</v>
      </c>
      <c r="F388" s="10" t="s">
        <v>12</v>
      </c>
      <c r="G388" s="10" t="s">
        <v>36</v>
      </c>
      <c r="H388" s="10" t="n">
        <v>7069</v>
      </c>
    </row>
    <row r="389" customFormat="false" ht="15" hidden="false" customHeight="true" outlineLevel="0" collapsed="false">
      <c r="A389" s="9" t="n">
        <v>46140</v>
      </c>
      <c r="B389" s="10" t="s">
        <v>6</v>
      </c>
      <c r="C389" s="10" t="s">
        <v>750</v>
      </c>
      <c r="D389" s="10" t="s">
        <v>54</v>
      </c>
      <c r="E389" s="11" t="s">
        <v>751</v>
      </c>
      <c r="F389" s="10" t="s">
        <v>12</v>
      </c>
      <c r="G389" s="10" t="s">
        <v>36</v>
      </c>
      <c r="H389" s="10" t="n">
        <v>7070</v>
      </c>
    </row>
    <row r="390" customFormat="false" ht="15" hidden="false" customHeight="true" outlineLevel="0" collapsed="false">
      <c r="A390" s="9" t="n">
        <v>46140</v>
      </c>
      <c r="B390" s="10" t="s">
        <v>6</v>
      </c>
      <c r="C390" s="10" t="s">
        <v>752</v>
      </c>
      <c r="D390" s="10" t="s">
        <v>54</v>
      </c>
      <c r="E390" s="11" t="s">
        <v>753</v>
      </c>
      <c r="F390" s="10" t="s">
        <v>11</v>
      </c>
      <c r="G390" s="10" t="s">
        <v>36</v>
      </c>
      <c r="H390" s="10" t="n">
        <v>7071</v>
      </c>
    </row>
    <row r="391" customFormat="false" ht="15" hidden="false" customHeight="true" outlineLevel="0" collapsed="false">
      <c r="A391" s="9" t="n">
        <v>46141</v>
      </c>
      <c r="B391" s="10" t="s">
        <v>6</v>
      </c>
      <c r="C391" s="10" t="s">
        <v>754</v>
      </c>
      <c r="D391" s="10" t="s">
        <v>54</v>
      </c>
      <c r="E391" s="11" t="s">
        <v>755</v>
      </c>
      <c r="F391" s="10" t="s">
        <v>11</v>
      </c>
      <c r="G391" s="10" t="s">
        <v>36</v>
      </c>
      <c r="H391" s="10" t="n">
        <v>7072</v>
      </c>
    </row>
    <row r="392" customFormat="false" ht="15" hidden="false" customHeight="true" outlineLevel="0" collapsed="false">
      <c r="A392" s="9" t="n">
        <v>46141</v>
      </c>
      <c r="B392" s="10" t="s">
        <v>6</v>
      </c>
      <c r="C392" s="10" t="s">
        <v>756</v>
      </c>
      <c r="D392" s="10" t="s">
        <v>54</v>
      </c>
      <c r="E392" s="11" t="s">
        <v>757</v>
      </c>
      <c r="F392" s="10" t="s">
        <v>11</v>
      </c>
      <c r="G392" s="10" t="s">
        <v>36</v>
      </c>
      <c r="H392" s="10" t="n">
        <v>7073</v>
      </c>
    </row>
    <row r="393" customFormat="false" ht="15" hidden="false" customHeight="true" outlineLevel="0" collapsed="false">
      <c r="A393" s="9" t="n">
        <v>46141</v>
      </c>
      <c r="B393" s="10" t="s">
        <v>6</v>
      </c>
      <c r="C393" s="10" t="s">
        <v>758</v>
      </c>
      <c r="D393" s="10" t="s">
        <v>54</v>
      </c>
      <c r="E393" s="11" t="s">
        <v>759</v>
      </c>
      <c r="F393" s="10" t="s">
        <v>11</v>
      </c>
      <c r="G393" s="10" t="s">
        <v>36</v>
      </c>
      <c r="H393" s="10" t="n">
        <v>7074</v>
      </c>
    </row>
    <row r="394" customFormat="false" ht="15" hidden="false" customHeight="true" outlineLevel="0" collapsed="false">
      <c r="A394" s="9" t="n">
        <v>46141</v>
      </c>
      <c r="B394" s="10" t="s">
        <v>6</v>
      </c>
      <c r="C394" s="10" t="s">
        <v>760</v>
      </c>
      <c r="D394" s="10" t="s">
        <v>54</v>
      </c>
      <c r="E394" s="11" t="s">
        <v>761</v>
      </c>
      <c r="F394" s="10" t="s">
        <v>11</v>
      </c>
      <c r="G394" s="10" t="s">
        <v>36</v>
      </c>
      <c r="H394" s="10" t="n">
        <v>7075</v>
      </c>
    </row>
    <row r="395" customFormat="false" ht="15" hidden="false" customHeight="true" outlineLevel="0" collapsed="false">
      <c r="A395" s="9" t="n">
        <v>46141</v>
      </c>
      <c r="B395" s="10" t="s">
        <v>6</v>
      </c>
      <c r="C395" s="10" t="s">
        <v>762</v>
      </c>
      <c r="D395" s="10" t="s">
        <v>54</v>
      </c>
      <c r="E395" s="11" t="s">
        <v>763</v>
      </c>
      <c r="F395" s="10" t="s">
        <v>11</v>
      </c>
      <c r="G395" s="10" t="s">
        <v>36</v>
      </c>
      <c r="H395" s="10" t="n">
        <v>7076</v>
      </c>
    </row>
    <row r="396" customFormat="false" ht="15" hidden="false" customHeight="true" outlineLevel="0" collapsed="false">
      <c r="A396" s="9" t="n">
        <v>46141</v>
      </c>
      <c r="B396" s="10" t="s">
        <v>6</v>
      </c>
      <c r="C396" s="10" t="s">
        <v>764</v>
      </c>
      <c r="D396" s="10" t="s">
        <v>54</v>
      </c>
      <c r="E396" s="11" t="s">
        <v>765</v>
      </c>
      <c r="F396" s="10" t="s">
        <v>11</v>
      </c>
      <c r="G396" s="10" t="s">
        <v>36</v>
      </c>
      <c r="H396" s="10" t="n">
        <v>7077</v>
      </c>
    </row>
    <row r="397" customFormat="false" ht="15" hidden="false" customHeight="true" outlineLevel="0" collapsed="false">
      <c r="A397" s="9" t="n">
        <v>46141</v>
      </c>
      <c r="B397" s="10" t="s">
        <v>6</v>
      </c>
      <c r="C397" s="10" t="s">
        <v>766</v>
      </c>
      <c r="D397" s="10" t="s">
        <v>54</v>
      </c>
      <c r="E397" s="11" t="s">
        <v>767</v>
      </c>
      <c r="F397" s="10" t="s">
        <v>11</v>
      </c>
      <c r="G397" s="10" t="s">
        <v>36</v>
      </c>
      <c r="H397" s="10" t="n">
        <v>7078</v>
      </c>
    </row>
    <row r="398" customFormat="false" ht="15" hidden="false" customHeight="true" outlineLevel="0" collapsed="false">
      <c r="A398" s="9" t="n">
        <v>46141</v>
      </c>
      <c r="B398" s="10" t="s">
        <v>6</v>
      </c>
      <c r="C398" s="10" t="s">
        <v>768</v>
      </c>
      <c r="D398" s="10" t="s">
        <v>54</v>
      </c>
      <c r="E398" s="11" t="s">
        <v>769</v>
      </c>
      <c r="F398" s="10" t="s">
        <v>11</v>
      </c>
      <c r="G398" s="10" t="s">
        <v>36</v>
      </c>
      <c r="H398" s="10" t="n">
        <v>7079</v>
      </c>
    </row>
    <row r="399" customFormat="false" ht="15" hidden="false" customHeight="true" outlineLevel="0" collapsed="false">
      <c r="A399" s="9" t="n">
        <v>46141</v>
      </c>
      <c r="B399" s="10" t="s">
        <v>6</v>
      </c>
      <c r="C399" s="10" t="s">
        <v>770</v>
      </c>
      <c r="D399" s="10" t="s">
        <v>54</v>
      </c>
      <c r="E399" s="11" t="s">
        <v>771</v>
      </c>
      <c r="F399" s="10" t="s">
        <v>11</v>
      </c>
      <c r="G399" s="10" t="s">
        <v>36</v>
      </c>
      <c r="H399" s="10" t="n">
        <v>7080</v>
      </c>
    </row>
    <row r="400" customFormat="false" ht="15" hidden="false" customHeight="true" outlineLevel="0" collapsed="false">
      <c r="A400" s="9" t="n">
        <v>46141</v>
      </c>
      <c r="B400" s="10" t="s">
        <v>6</v>
      </c>
      <c r="C400" s="10" t="s">
        <v>772</v>
      </c>
      <c r="D400" s="10" t="s">
        <v>54</v>
      </c>
      <c r="E400" s="11" t="s">
        <v>773</v>
      </c>
      <c r="F400" s="10" t="s">
        <v>11</v>
      </c>
      <c r="G400" s="10" t="s">
        <v>108</v>
      </c>
      <c r="H400" s="10" t="n">
        <v>7081</v>
      </c>
    </row>
    <row r="401" customFormat="false" ht="15" hidden="false" customHeight="true" outlineLevel="0" collapsed="false">
      <c r="A401" s="9" t="n">
        <v>46162</v>
      </c>
      <c r="B401" s="10" t="s">
        <v>6</v>
      </c>
      <c r="C401" s="10" t="s">
        <v>774</v>
      </c>
      <c r="D401" s="10" t="s">
        <v>54</v>
      </c>
      <c r="E401" s="11" t="s">
        <v>775</v>
      </c>
      <c r="F401" s="10" t="s">
        <v>13</v>
      </c>
      <c r="G401" s="10" t="s">
        <v>36</v>
      </c>
      <c r="H401" s="10" t="n">
        <v>7082</v>
      </c>
    </row>
    <row r="402" customFormat="false" ht="15" hidden="false" customHeight="true" outlineLevel="0" collapsed="false">
      <c r="A402" s="9" t="n">
        <v>46162</v>
      </c>
      <c r="B402" s="10" t="s">
        <v>6</v>
      </c>
      <c r="C402" s="10" t="s">
        <v>776</v>
      </c>
      <c r="D402" s="10" t="s">
        <v>54</v>
      </c>
      <c r="E402" s="11" t="s">
        <v>777</v>
      </c>
      <c r="F402" s="10" t="s">
        <v>13</v>
      </c>
      <c r="G402" s="10" t="s">
        <v>36</v>
      </c>
      <c r="H402" s="10" t="n">
        <v>7083</v>
      </c>
    </row>
    <row r="403" customFormat="false" ht="15" hidden="false" customHeight="true" outlineLevel="0" collapsed="false">
      <c r="A403" s="9" t="n">
        <v>46162</v>
      </c>
      <c r="B403" s="10" t="s">
        <v>6</v>
      </c>
      <c r="C403" s="10" t="s">
        <v>778</v>
      </c>
      <c r="D403" s="10" t="s">
        <v>54</v>
      </c>
      <c r="E403" s="11" t="s">
        <v>779</v>
      </c>
      <c r="F403" s="10" t="s">
        <v>13</v>
      </c>
      <c r="G403" s="10" t="s">
        <v>36</v>
      </c>
      <c r="H403" s="10" t="n">
        <v>7084</v>
      </c>
    </row>
    <row r="404" customFormat="false" ht="15" hidden="false" customHeight="true" outlineLevel="0" collapsed="false">
      <c r="A404" s="9" t="n">
        <v>46162</v>
      </c>
      <c r="B404" s="10" t="s">
        <v>6</v>
      </c>
      <c r="C404" s="10" t="s">
        <v>780</v>
      </c>
      <c r="D404" s="10" t="s">
        <v>54</v>
      </c>
      <c r="E404" s="11" t="s">
        <v>781</v>
      </c>
      <c r="F404" s="10" t="s">
        <v>13</v>
      </c>
      <c r="G404" s="10" t="s">
        <v>36</v>
      </c>
      <c r="H404" s="10" t="n">
        <v>7085</v>
      </c>
    </row>
    <row r="405" customFormat="false" ht="15" hidden="false" customHeight="true" outlineLevel="0" collapsed="false">
      <c r="A405" s="9" t="n">
        <v>46162</v>
      </c>
      <c r="B405" s="10" t="s">
        <v>6</v>
      </c>
      <c r="C405" s="10" t="s">
        <v>782</v>
      </c>
      <c r="D405" s="10" t="s">
        <v>54</v>
      </c>
      <c r="E405" s="11" t="s">
        <v>783</v>
      </c>
      <c r="F405" s="10" t="s">
        <v>13</v>
      </c>
      <c r="G405" s="10" t="s">
        <v>36</v>
      </c>
      <c r="H405" s="10" t="n">
        <v>7086</v>
      </c>
    </row>
    <row r="406" customFormat="false" ht="15" hidden="false" customHeight="true" outlineLevel="0" collapsed="false">
      <c r="A406" s="9" t="n">
        <v>46162</v>
      </c>
      <c r="B406" s="10" t="s">
        <v>6</v>
      </c>
      <c r="C406" s="10" t="s">
        <v>784</v>
      </c>
      <c r="D406" s="10" t="s">
        <v>54</v>
      </c>
      <c r="E406" s="11" t="s">
        <v>785</v>
      </c>
      <c r="F406" s="10" t="s">
        <v>13</v>
      </c>
      <c r="G406" s="10" t="s">
        <v>36</v>
      </c>
      <c r="H406" s="10" t="n">
        <v>7087</v>
      </c>
    </row>
    <row r="407" customFormat="false" ht="15" hidden="false" customHeight="true" outlineLevel="0" collapsed="false">
      <c r="A407" s="9" t="n">
        <v>46162</v>
      </c>
      <c r="B407" s="10" t="s">
        <v>6</v>
      </c>
      <c r="C407" s="10" t="s">
        <v>786</v>
      </c>
      <c r="D407" s="10" t="s">
        <v>54</v>
      </c>
      <c r="E407" s="11" t="s">
        <v>787</v>
      </c>
      <c r="F407" s="10" t="s">
        <v>13</v>
      </c>
      <c r="G407" s="10" t="s">
        <v>36</v>
      </c>
      <c r="H407" s="10" t="n">
        <v>7088</v>
      </c>
    </row>
    <row r="408" customFormat="false" ht="15" hidden="false" customHeight="true" outlineLevel="0" collapsed="false">
      <c r="A408" s="9" t="n">
        <v>46162</v>
      </c>
      <c r="B408" s="10" t="s">
        <v>6</v>
      </c>
      <c r="C408" s="10" t="s">
        <v>788</v>
      </c>
      <c r="D408" s="10" t="s">
        <v>54</v>
      </c>
      <c r="E408" s="11" t="s">
        <v>789</v>
      </c>
      <c r="F408" s="10" t="s">
        <v>13</v>
      </c>
      <c r="G408" s="10" t="s">
        <v>36</v>
      </c>
      <c r="H408" s="10" t="n">
        <v>7089</v>
      </c>
    </row>
    <row r="409" customFormat="false" ht="15" hidden="false" customHeight="true" outlineLevel="0" collapsed="false">
      <c r="A409" s="9" t="n">
        <v>46162</v>
      </c>
      <c r="B409" s="10" t="s">
        <v>6</v>
      </c>
      <c r="C409" s="10" t="s">
        <v>790</v>
      </c>
      <c r="D409" s="10" t="s">
        <v>54</v>
      </c>
      <c r="E409" s="11" t="s">
        <v>791</v>
      </c>
      <c r="F409" s="10" t="s">
        <v>13</v>
      </c>
      <c r="G409" s="10" t="s">
        <v>36</v>
      </c>
      <c r="H409" s="10" t="n">
        <v>7090</v>
      </c>
    </row>
    <row r="410" customFormat="false" ht="15" hidden="false" customHeight="true" outlineLevel="0" collapsed="false">
      <c r="A410" s="9" t="n">
        <v>46169</v>
      </c>
      <c r="B410" s="10" t="s">
        <v>6</v>
      </c>
      <c r="C410" s="10" t="s">
        <v>792</v>
      </c>
      <c r="D410" s="10" t="s">
        <v>38</v>
      </c>
      <c r="E410" s="11" t="s">
        <v>792</v>
      </c>
      <c r="F410" s="10" t="s">
        <v>13</v>
      </c>
      <c r="G410" s="10" t="s">
        <v>36</v>
      </c>
      <c r="H410" s="10" t="n">
        <v>7091</v>
      </c>
    </row>
    <row r="411" customFormat="false" ht="15" hidden="false" customHeight="true" outlineLevel="0" collapsed="false">
      <c r="A411" s="9" t="n">
        <v>46182</v>
      </c>
      <c r="B411" s="10" t="s">
        <v>6</v>
      </c>
      <c r="C411" s="10" t="s">
        <v>793</v>
      </c>
      <c r="D411" s="10" t="s">
        <v>38</v>
      </c>
      <c r="E411" s="11" t="s">
        <v>794</v>
      </c>
      <c r="F411" s="10" t="s">
        <v>14</v>
      </c>
      <c r="G411" s="10" t="s">
        <v>36</v>
      </c>
      <c r="H411" s="10" t="n">
        <v>7092</v>
      </c>
    </row>
    <row r="412" customFormat="false" ht="15" hidden="false" customHeight="true" outlineLevel="0" collapsed="false">
      <c r="A412" s="9" t="n">
        <v>46183</v>
      </c>
      <c r="B412" s="10" t="s">
        <v>6</v>
      </c>
      <c r="C412" s="10" t="s">
        <v>795</v>
      </c>
      <c r="D412" s="10" t="s">
        <v>54</v>
      </c>
      <c r="E412" s="11" t="s">
        <v>796</v>
      </c>
      <c r="F412" s="10" t="s">
        <v>11</v>
      </c>
      <c r="G412" s="10" t="s">
        <v>36</v>
      </c>
      <c r="H412" s="10" t="n">
        <v>7093</v>
      </c>
    </row>
    <row r="413" customFormat="false" ht="15" hidden="false" customHeight="true" outlineLevel="0" collapsed="false">
      <c r="A413" s="9" t="n">
        <v>46183</v>
      </c>
      <c r="B413" s="10" t="s">
        <v>6</v>
      </c>
      <c r="C413" s="10" t="s">
        <v>797</v>
      </c>
      <c r="D413" s="10" t="s">
        <v>38</v>
      </c>
      <c r="E413" s="11" t="s">
        <v>798</v>
      </c>
      <c r="F413" s="10" t="s">
        <v>12</v>
      </c>
      <c r="G413" s="10" t="s">
        <v>36</v>
      </c>
      <c r="H413" s="10" t="n">
        <v>7094</v>
      </c>
    </row>
    <row r="414" customFormat="false" ht="15" hidden="false" customHeight="true" outlineLevel="0" collapsed="false">
      <c r="A414" s="9" t="n">
        <v>46189</v>
      </c>
      <c r="B414" s="10" t="s">
        <v>6</v>
      </c>
      <c r="C414" s="10" t="s">
        <v>799</v>
      </c>
      <c r="D414" s="10" t="s">
        <v>38</v>
      </c>
      <c r="E414" s="11" t="s">
        <v>800</v>
      </c>
      <c r="F414" s="10" t="s">
        <v>8</v>
      </c>
      <c r="G414" s="10" t="s">
        <v>36</v>
      </c>
      <c r="H414" s="10" t="n">
        <v>7095</v>
      </c>
    </row>
    <row r="415" customFormat="false" ht="15" hidden="false" customHeight="true" outlineLevel="0" collapsed="false">
      <c r="A415" s="9" t="n">
        <v>46217</v>
      </c>
      <c r="B415" s="10" t="s">
        <v>6</v>
      </c>
      <c r="C415" s="10" t="s">
        <v>801</v>
      </c>
      <c r="D415" s="10" t="s">
        <v>50</v>
      </c>
      <c r="E415" s="11" t="s">
        <v>802</v>
      </c>
      <c r="F415" s="10" t="s">
        <v>15</v>
      </c>
      <c r="G415" s="10" t="s">
        <v>36</v>
      </c>
      <c r="H415" s="10" t="n">
        <v>7096</v>
      </c>
    </row>
    <row r="416" customFormat="false" ht="15" hidden="false" customHeight="true" outlineLevel="0" collapsed="false">
      <c r="A416" s="9" t="n">
        <v>46217</v>
      </c>
      <c r="B416" s="10" t="s">
        <v>6</v>
      </c>
      <c r="C416" s="10" t="s">
        <v>801</v>
      </c>
      <c r="D416" s="10" t="s">
        <v>50</v>
      </c>
      <c r="E416" s="11" t="s">
        <v>803</v>
      </c>
      <c r="F416" s="10" t="s">
        <v>15</v>
      </c>
      <c r="G416" s="10" t="s">
        <v>36</v>
      </c>
      <c r="H416" s="10" t="n">
        <v>7097</v>
      </c>
    </row>
    <row r="417" customFormat="false" ht="15" hidden="false" customHeight="true" outlineLevel="0" collapsed="false">
      <c r="A417" s="9" t="n">
        <v>46218</v>
      </c>
      <c r="B417" s="10" t="s">
        <v>6</v>
      </c>
      <c r="C417" s="10" t="s">
        <v>804</v>
      </c>
      <c r="D417" s="10" t="s">
        <v>38</v>
      </c>
      <c r="E417" s="11" t="s">
        <v>805</v>
      </c>
      <c r="F417" s="10" t="s">
        <v>12</v>
      </c>
      <c r="G417" s="10" t="s">
        <v>36</v>
      </c>
      <c r="H417" s="10" t="n">
        <v>7098</v>
      </c>
    </row>
    <row r="418" customFormat="false" ht="15" hidden="false" customHeight="true" outlineLevel="0" collapsed="false">
      <c r="A418" s="9" t="n">
        <v>46218</v>
      </c>
      <c r="B418" s="10" t="s">
        <v>6</v>
      </c>
      <c r="C418" s="10" t="s">
        <v>804</v>
      </c>
      <c r="D418" s="10" t="s">
        <v>38</v>
      </c>
      <c r="E418" s="11" t="s">
        <v>806</v>
      </c>
      <c r="F418" s="10" t="s">
        <v>12</v>
      </c>
      <c r="G418" s="10" t="s">
        <v>108</v>
      </c>
      <c r="H418" s="10" t="n">
        <v>7099</v>
      </c>
    </row>
    <row r="419" customFormat="false" ht="15" hidden="false" customHeight="true" outlineLevel="0" collapsed="false">
      <c r="A419" s="9" t="n">
        <v>46218</v>
      </c>
      <c r="B419" s="10" t="s">
        <v>6</v>
      </c>
      <c r="C419" s="10" t="s">
        <v>804</v>
      </c>
      <c r="D419" s="10" t="s">
        <v>38</v>
      </c>
      <c r="E419" s="11" t="s">
        <v>807</v>
      </c>
      <c r="F419" s="10" t="s">
        <v>12</v>
      </c>
      <c r="G419" s="10" t="s">
        <v>108</v>
      </c>
      <c r="H419" s="10" t="n">
        <v>7100</v>
      </c>
    </row>
    <row r="420" customFormat="false" ht="15" hidden="false" customHeight="true" outlineLevel="0" collapsed="false">
      <c r="A420" s="9" t="n">
        <v>46246</v>
      </c>
      <c r="B420" s="10" t="s">
        <v>6</v>
      </c>
      <c r="C420" s="10" t="s">
        <v>808</v>
      </c>
      <c r="D420" s="10" t="s">
        <v>38</v>
      </c>
      <c r="E420" s="11" t="s">
        <v>809</v>
      </c>
      <c r="F420" s="10" t="s">
        <v>8</v>
      </c>
      <c r="G420" s="10" t="s">
        <v>36</v>
      </c>
      <c r="H420" s="10" t="n">
        <v>7101</v>
      </c>
    </row>
    <row r="421" customFormat="false" ht="15" hidden="false" customHeight="true" outlineLevel="0" collapsed="false">
      <c r="A421" s="9" t="n">
        <v>46246</v>
      </c>
      <c r="B421" s="10" t="s">
        <v>6</v>
      </c>
      <c r="C421" s="10" t="s">
        <v>810</v>
      </c>
      <c r="D421" s="10" t="s">
        <v>38</v>
      </c>
      <c r="E421" s="11" t="s">
        <v>811</v>
      </c>
      <c r="F421" s="10" t="s">
        <v>12</v>
      </c>
      <c r="G421" s="10" t="s">
        <v>36</v>
      </c>
      <c r="H421" s="10" t="n">
        <v>7102</v>
      </c>
    </row>
    <row r="422" customFormat="false" ht="15" hidden="false" customHeight="true" outlineLevel="0" collapsed="false">
      <c r="A422" s="9" t="n">
        <v>46246</v>
      </c>
      <c r="B422" s="10" t="s">
        <v>6</v>
      </c>
      <c r="C422" s="10" t="s">
        <v>810</v>
      </c>
      <c r="D422" s="10" t="s">
        <v>38</v>
      </c>
      <c r="E422" s="11" t="s">
        <v>812</v>
      </c>
      <c r="F422" s="10" t="s">
        <v>9</v>
      </c>
      <c r="G422" s="10" t="s">
        <v>36</v>
      </c>
      <c r="H422" s="10" t="n">
        <v>7103</v>
      </c>
    </row>
    <row r="423" customFormat="false" ht="15" hidden="false" customHeight="true" outlineLevel="0" collapsed="false">
      <c r="A423" s="9" t="n">
        <v>46266</v>
      </c>
      <c r="B423" s="10" t="s">
        <v>6</v>
      </c>
      <c r="C423" s="10" t="s">
        <v>813</v>
      </c>
      <c r="D423" s="10" t="s">
        <v>34</v>
      </c>
      <c r="E423" s="11" t="s">
        <v>814</v>
      </c>
      <c r="F423" s="10" t="s">
        <v>11</v>
      </c>
      <c r="G423" s="10" t="s">
        <v>36</v>
      </c>
      <c r="H423" s="10" t="n">
        <v>7104</v>
      </c>
    </row>
    <row r="424" customFormat="false" ht="15" hidden="false" customHeight="true" outlineLevel="0" collapsed="false">
      <c r="A424" s="9" t="n">
        <v>46268</v>
      </c>
      <c r="B424" s="10" t="s">
        <v>6</v>
      </c>
      <c r="C424" s="10" t="s">
        <v>815</v>
      </c>
      <c r="D424" s="10" t="s">
        <v>38</v>
      </c>
      <c r="E424" s="11" t="s">
        <v>816</v>
      </c>
      <c r="F424" s="10" t="s">
        <v>12</v>
      </c>
      <c r="G424" s="10" t="s">
        <v>36</v>
      </c>
      <c r="H424" s="10" t="n">
        <v>7105</v>
      </c>
    </row>
    <row r="425" customFormat="false" ht="15" hidden="false" customHeight="true" outlineLevel="0" collapsed="false">
      <c r="A425" s="9" t="n">
        <v>46309</v>
      </c>
      <c r="B425" s="10" t="s">
        <v>6</v>
      </c>
      <c r="C425" s="10" t="s">
        <v>817</v>
      </c>
      <c r="D425" s="10" t="s">
        <v>50</v>
      </c>
      <c r="E425" s="11" t="s">
        <v>818</v>
      </c>
      <c r="F425" s="10" t="s">
        <v>8</v>
      </c>
      <c r="G425" s="10" t="s">
        <v>36</v>
      </c>
      <c r="H425" s="10" t="n">
        <v>7106</v>
      </c>
    </row>
    <row r="426" customFormat="false" ht="15" hidden="false" customHeight="true" outlineLevel="0" collapsed="false">
      <c r="A426" s="9" t="n">
        <v>46309</v>
      </c>
      <c r="B426" s="10" t="s">
        <v>6</v>
      </c>
      <c r="C426" s="10" t="s">
        <v>817</v>
      </c>
      <c r="D426" s="10" t="s">
        <v>50</v>
      </c>
      <c r="E426" s="11" t="s">
        <v>819</v>
      </c>
      <c r="F426" s="10" t="s">
        <v>8</v>
      </c>
      <c r="G426" s="10" t="s">
        <v>36</v>
      </c>
      <c r="H426" s="10" t="n">
        <v>7107</v>
      </c>
    </row>
    <row r="427" customFormat="false" ht="15" hidden="false" customHeight="true" outlineLevel="0" collapsed="false">
      <c r="A427" s="9" t="n">
        <v>46310</v>
      </c>
      <c r="B427" s="10" t="s">
        <v>6</v>
      </c>
      <c r="C427" s="10" t="s">
        <v>820</v>
      </c>
      <c r="D427" s="10" t="s">
        <v>38</v>
      </c>
      <c r="E427" s="11" t="s">
        <v>821</v>
      </c>
      <c r="F427" s="10" t="s">
        <v>8</v>
      </c>
      <c r="G427" s="10" t="s">
        <v>36</v>
      </c>
      <c r="H427" s="10" t="n">
        <v>7108</v>
      </c>
    </row>
  </sheetData>
  <autoFilter ref="A1:H4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60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40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2" t="s">
        <v>25</v>
      </c>
      <c r="B1" s="12" t="s">
        <v>27</v>
      </c>
      <c r="C1" s="12" t="s">
        <v>822</v>
      </c>
      <c r="D1" s="12" t="s">
        <v>823</v>
      </c>
      <c r="E1" s="12" t="s">
        <v>30</v>
      </c>
      <c r="F1" s="12" t="s">
        <v>824</v>
      </c>
      <c r="G1" s="12" t="s">
        <v>31</v>
      </c>
      <c r="H1" s="12" t="s">
        <v>825</v>
      </c>
      <c r="I1" s="12" t="s">
        <v>826</v>
      </c>
      <c r="J1" s="12" t="s">
        <v>827</v>
      </c>
      <c r="K1" s="12" t="s">
        <v>32</v>
      </c>
    </row>
    <row r="2" customFormat="false" ht="15" hidden="false" customHeight="false" outlineLevel="0" collapsed="false">
      <c r="A2" s="9" t="n">
        <v>45013</v>
      </c>
      <c r="B2" s="10" t="s">
        <v>37</v>
      </c>
      <c r="C2" s="10" t="s">
        <v>828</v>
      </c>
      <c r="D2" s="11" t="s">
        <v>829</v>
      </c>
      <c r="E2" s="10" t="s">
        <v>8</v>
      </c>
      <c r="F2" s="10" t="s">
        <v>830</v>
      </c>
      <c r="G2" s="10" t="s">
        <v>36</v>
      </c>
      <c r="H2" s="10" t="s">
        <v>831</v>
      </c>
      <c r="I2" s="10" t="s">
        <v>831</v>
      </c>
      <c r="J2" s="11"/>
      <c r="K2" s="10" t="n">
        <v>6675</v>
      </c>
    </row>
    <row r="3" customFormat="false" ht="15" hidden="false" customHeight="false" outlineLevel="0" collapsed="false">
      <c r="A3" s="9" t="n">
        <v>45035</v>
      </c>
      <c r="B3" s="10" t="s">
        <v>40</v>
      </c>
      <c r="C3" s="10" t="s">
        <v>828</v>
      </c>
      <c r="D3" s="11" t="s">
        <v>832</v>
      </c>
      <c r="E3" s="10" t="s">
        <v>8</v>
      </c>
      <c r="F3" s="10" t="s">
        <v>833</v>
      </c>
      <c r="G3" s="10" t="s">
        <v>36</v>
      </c>
      <c r="H3" s="10" t="s">
        <v>8</v>
      </c>
      <c r="I3" s="10" t="s">
        <v>8</v>
      </c>
      <c r="J3" s="11" t="s">
        <v>834</v>
      </c>
      <c r="K3" s="10" t="n">
        <v>6676</v>
      </c>
    </row>
    <row r="4" customFormat="false" ht="23.85" hidden="false" customHeight="false" outlineLevel="0" collapsed="false">
      <c r="A4" s="9" t="n">
        <v>45055</v>
      </c>
      <c r="B4" s="10" t="s">
        <v>42</v>
      </c>
      <c r="C4" s="10" t="s">
        <v>835</v>
      </c>
      <c r="D4" s="11" t="s">
        <v>836</v>
      </c>
      <c r="E4" s="10" t="s">
        <v>9</v>
      </c>
      <c r="F4" s="10" t="s">
        <v>837</v>
      </c>
      <c r="G4" s="10" t="s">
        <v>36</v>
      </c>
      <c r="H4" s="10" t="s">
        <v>8</v>
      </c>
      <c r="I4" s="10" t="s">
        <v>9</v>
      </c>
      <c r="J4" s="11" t="s">
        <v>838</v>
      </c>
      <c r="K4" s="10" t="n">
        <v>6677</v>
      </c>
    </row>
    <row r="5" customFormat="false" ht="23.85" hidden="false" customHeight="false" outlineLevel="0" collapsed="false">
      <c r="A5" s="9" t="n">
        <v>45055</v>
      </c>
      <c r="B5" s="10" t="s">
        <v>45</v>
      </c>
      <c r="C5" s="10" t="s">
        <v>828</v>
      </c>
      <c r="D5" s="11" t="s">
        <v>839</v>
      </c>
      <c r="E5" s="10" t="s">
        <v>8</v>
      </c>
      <c r="F5" s="10" t="s">
        <v>840</v>
      </c>
      <c r="G5" s="10" t="s">
        <v>36</v>
      </c>
      <c r="H5" s="10" t="s">
        <v>8</v>
      </c>
      <c r="I5" s="10" t="s">
        <v>831</v>
      </c>
      <c r="J5" s="11" t="s">
        <v>834</v>
      </c>
      <c r="K5" s="10" t="n">
        <v>6678</v>
      </c>
    </row>
    <row r="6" customFormat="false" ht="15" hidden="false" customHeight="false" outlineLevel="0" collapsed="false">
      <c r="A6" s="9" t="n">
        <v>45056</v>
      </c>
      <c r="B6" s="10" t="s">
        <v>47</v>
      </c>
      <c r="C6" s="10" t="s">
        <v>828</v>
      </c>
      <c r="D6" s="11" t="s">
        <v>841</v>
      </c>
      <c r="E6" s="10" t="s">
        <v>8</v>
      </c>
      <c r="F6" s="10" t="s">
        <v>842</v>
      </c>
      <c r="G6" s="10" t="s">
        <v>36</v>
      </c>
      <c r="H6" s="10" t="s">
        <v>8</v>
      </c>
      <c r="I6" s="10" t="s">
        <v>843</v>
      </c>
      <c r="J6" s="11" t="s">
        <v>834</v>
      </c>
      <c r="K6" s="10" t="n">
        <v>6679</v>
      </c>
    </row>
    <row r="7" customFormat="false" ht="23.85" hidden="false" customHeight="false" outlineLevel="0" collapsed="false">
      <c r="A7" s="9" t="n">
        <v>45062</v>
      </c>
      <c r="B7" s="10" t="s">
        <v>49</v>
      </c>
      <c r="C7" s="10" t="s">
        <v>828</v>
      </c>
      <c r="D7" s="11" t="s">
        <v>844</v>
      </c>
      <c r="E7" s="10" t="s">
        <v>8</v>
      </c>
      <c r="F7" s="10" t="s">
        <v>845</v>
      </c>
      <c r="G7" s="10" t="s">
        <v>36</v>
      </c>
      <c r="H7" s="10" t="s">
        <v>8</v>
      </c>
      <c r="I7" s="10" t="s">
        <v>8</v>
      </c>
      <c r="J7" s="11" t="s">
        <v>846</v>
      </c>
      <c r="K7" s="10" t="n">
        <v>6680</v>
      </c>
    </row>
    <row r="8" customFormat="false" ht="23.85" hidden="false" customHeight="false" outlineLevel="0" collapsed="false">
      <c r="A8" s="9" t="n">
        <v>45062</v>
      </c>
      <c r="B8" s="10" t="s">
        <v>49</v>
      </c>
      <c r="C8" s="10" t="s">
        <v>828</v>
      </c>
      <c r="D8" s="11" t="s">
        <v>844</v>
      </c>
      <c r="E8" s="10" t="s">
        <v>8</v>
      </c>
      <c r="F8" s="10" t="s">
        <v>845</v>
      </c>
      <c r="G8" s="10" t="s">
        <v>36</v>
      </c>
      <c r="H8" s="10" t="s">
        <v>8</v>
      </c>
      <c r="I8" s="10" t="s">
        <v>8</v>
      </c>
      <c r="J8" s="11" t="s">
        <v>846</v>
      </c>
      <c r="K8" s="10" t="n">
        <v>6681</v>
      </c>
    </row>
    <row r="9" customFormat="false" ht="15" hidden="false" customHeight="false" outlineLevel="0" collapsed="false">
      <c r="A9" s="9" t="n">
        <v>45077</v>
      </c>
      <c r="B9" s="10" t="s">
        <v>96</v>
      </c>
      <c r="C9" s="10" t="s">
        <v>828</v>
      </c>
      <c r="D9" s="11" t="s">
        <v>847</v>
      </c>
      <c r="E9" s="10" t="s">
        <v>9</v>
      </c>
      <c r="F9" s="10" t="s">
        <v>848</v>
      </c>
      <c r="G9" s="10" t="s">
        <v>36</v>
      </c>
      <c r="H9" s="10" t="s">
        <v>8</v>
      </c>
      <c r="I9" s="10" t="s">
        <v>9</v>
      </c>
      <c r="J9" s="11" t="s">
        <v>838</v>
      </c>
      <c r="K9" s="10" t="n">
        <v>6704</v>
      </c>
    </row>
    <row r="10" customFormat="false" ht="23.85" hidden="false" customHeight="false" outlineLevel="0" collapsed="false">
      <c r="A10" s="9" t="n">
        <v>45083</v>
      </c>
      <c r="B10" s="10" t="s">
        <v>99</v>
      </c>
      <c r="C10" s="10" t="s">
        <v>828</v>
      </c>
      <c r="D10" s="11" t="s">
        <v>849</v>
      </c>
      <c r="E10" s="10" t="s">
        <v>8</v>
      </c>
      <c r="F10" s="10" t="s">
        <v>850</v>
      </c>
      <c r="G10" s="10" t="s">
        <v>36</v>
      </c>
      <c r="H10" s="10" t="s">
        <v>831</v>
      </c>
      <c r="I10" s="10" t="s">
        <v>8</v>
      </c>
      <c r="J10" s="11" t="s">
        <v>851</v>
      </c>
      <c r="K10" s="10" t="n">
        <v>6705</v>
      </c>
    </row>
    <row r="11" customFormat="false" ht="23.85" hidden="false" customHeight="false" outlineLevel="0" collapsed="false">
      <c r="A11" s="9" t="n">
        <v>45083</v>
      </c>
      <c r="B11" s="10" t="s">
        <v>99</v>
      </c>
      <c r="C11" s="10" t="s">
        <v>828</v>
      </c>
      <c r="D11" s="11" t="s">
        <v>849</v>
      </c>
      <c r="E11" s="10" t="s">
        <v>8</v>
      </c>
      <c r="F11" s="10" t="s">
        <v>840</v>
      </c>
      <c r="G11" s="10" t="s">
        <v>36</v>
      </c>
      <c r="H11" s="10" t="s">
        <v>831</v>
      </c>
      <c r="I11" s="10" t="s">
        <v>8</v>
      </c>
      <c r="J11" s="11" t="s">
        <v>852</v>
      </c>
      <c r="K11" s="10" t="n">
        <v>6706</v>
      </c>
    </row>
    <row r="12" customFormat="false" ht="23.85" hidden="false" customHeight="false" outlineLevel="0" collapsed="false">
      <c r="A12" s="9" t="n">
        <v>45091</v>
      </c>
      <c r="B12" s="10" t="s">
        <v>104</v>
      </c>
      <c r="C12" s="10" t="s">
        <v>828</v>
      </c>
      <c r="D12" s="11" t="s">
        <v>853</v>
      </c>
      <c r="E12" s="10" t="s">
        <v>12</v>
      </c>
      <c r="F12" s="10" t="s">
        <v>845</v>
      </c>
      <c r="G12" s="10" t="s">
        <v>36</v>
      </c>
      <c r="H12" s="10" t="s">
        <v>843</v>
      </c>
      <c r="I12" s="10" t="s">
        <v>8</v>
      </c>
      <c r="J12" s="11" t="s">
        <v>854</v>
      </c>
      <c r="K12" s="10" t="n">
        <v>6708</v>
      </c>
    </row>
    <row r="13" customFormat="false" ht="15" hidden="false" customHeight="false" outlineLevel="0" collapsed="false">
      <c r="A13" s="9" t="n">
        <v>45097</v>
      </c>
      <c r="B13" s="10" t="s">
        <v>106</v>
      </c>
      <c r="C13" s="10" t="s">
        <v>835</v>
      </c>
      <c r="D13" s="11" t="s">
        <v>855</v>
      </c>
      <c r="E13" s="10" t="s">
        <v>8</v>
      </c>
      <c r="F13" s="10" t="s">
        <v>856</v>
      </c>
      <c r="G13" s="10" t="s">
        <v>108</v>
      </c>
      <c r="H13" s="10" t="s">
        <v>9</v>
      </c>
      <c r="I13" s="10" t="s">
        <v>8</v>
      </c>
      <c r="J13" s="11" t="s">
        <v>838</v>
      </c>
      <c r="K13" s="10" t="n">
        <v>6709</v>
      </c>
    </row>
    <row r="14" customFormat="false" ht="15" hidden="false" customHeight="false" outlineLevel="0" collapsed="false">
      <c r="A14" s="9" t="n">
        <v>45098</v>
      </c>
      <c r="B14" s="10" t="s">
        <v>117</v>
      </c>
      <c r="C14" s="10" t="s">
        <v>828</v>
      </c>
      <c r="D14" s="11" t="s">
        <v>857</v>
      </c>
      <c r="E14" s="10" t="s">
        <v>9</v>
      </c>
      <c r="F14" s="10" t="s">
        <v>858</v>
      </c>
      <c r="G14" s="10" t="s">
        <v>36</v>
      </c>
      <c r="H14" s="10" t="s">
        <v>8</v>
      </c>
      <c r="I14" s="10" t="s">
        <v>9</v>
      </c>
      <c r="J14" s="11" t="s">
        <v>838</v>
      </c>
      <c r="K14" s="10" t="n">
        <v>6714</v>
      </c>
    </row>
    <row r="15" customFormat="false" ht="15" hidden="false" customHeight="false" outlineLevel="0" collapsed="false">
      <c r="A15" s="9" t="n">
        <v>45098</v>
      </c>
      <c r="B15" s="10" t="s">
        <v>117</v>
      </c>
      <c r="C15" s="10" t="s">
        <v>835</v>
      </c>
      <c r="D15" s="11" t="s">
        <v>859</v>
      </c>
      <c r="E15" s="10" t="s">
        <v>8</v>
      </c>
      <c r="F15" s="10" t="s">
        <v>860</v>
      </c>
      <c r="G15" s="10" t="s">
        <v>108</v>
      </c>
      <c r="H15" s="10" t="s">
        <v>9</v>
      </c>
      <c r="I15" s="10" t="s">
        <v>8</v>
      </c>
      <c r="J15" s="11" t="s">
        <v>838</v>
      </c>
      <c r="K15" s="10" t="n">
        <v>6715</v>
      </c>
    </row>
    <row r="16" customFormat="false" ht="15" hidden="false" customHeight="false" outlineLevel="0" collapsed="false">
      <c r="A16" s="9" t="n">
        <v>45098</v>
      </c>
      <c r="B16" s="10" t="s">
        <v>117</v>
      </c>
      <c r="C16" s="10" t="s">
        <v>835</v>
      </c>
      <c r="D16" s="11" t="s">
        <v>859</v>
      </c>
      <c r="E16" s="10" t="s">
        <v>8</v>
      </c>
      <c r="F16" s="10" t="s">
        <v>861</v>
      </c>
      <c r="G16" s="10" t="s">
        <v>108</v>
      </c>
      <c r="H16" s="10" t="s">
        <v>9</v>
      </c>
      <c r="I16" s="10" t="s">
        <v>8</v>
      </c>
      <c r="J16" s="11" t="s">
        <v>838</v>
      </c>
      <c r="K16" s="10" t="n">
        <v>6716</v>
      </c>
    </row>
    <row r="17" customFormat="false" ht="15" hidden="false" customHeight="false" outlineLevel="0" collapsed="false">
      <c r="A17" s="9" t="n">
        <v>45098</v>
      </c>
      <c r="B17" s="10" t="s">
        <v>117</v>
      </c>
      <c r="C17" s="10" t="s">
        <v>835</v>
      </c>
      <c r="D17" s="11" t="s">
        <v>859</v>
      </c>
      <c r="E17" s="10" t="s">
        <v>9</v>
      </c>
      <c r="F17" s="10" t="s">
        <v>862</v>
      </c>
      <c r="G17" s="10" t="s">
        <v>108</v>
      </c>
      <c r="H17" s="10" t="s">
        <v>9</v>
      </c>
      <c r="I17" s="10" t="s">
        <v>9</v>
      </c>
      <c r="J17" s="11"/>
      <c r="K17" s="10" t="n">
        <v>6717</v>
      </c>
    </row>
    <row r="18" customFormat="false" ht="15" hidden="false" customHeight="false" outlineLevel="0" collapsed="false">
      <c r="A18" s="9" t="n">
        <v>45112</v>
      </c>
      <c r="B18" s="10" t="s">
        <v>146</v>
      </c>
      <c r="C18" s="10" t="s">
        <v>828</v>
      </c>
      <c r="D18" s="11" t="s">
        <v>863</v>
      </c>
      <c r="E18" s="10" t="s">
        <v>8</v>
      </c>
      <c r="F18" s="10" t="s">
        <v>864</v>
      </c>
      <c r="G18" s="10" t="s">
        <v>36</v>
      </c>
      <c r="H18" s="10" t="s">
        <v>8</v>
      </c>
      <c r="I18" s="10" t="s">
        <v>8</v>
      </c>
      <c r="J18" s="11" t="s">
        <v>834</v>
      </c>
      <c r="K18" s="10" t="n">
        <v>6730</v>
      </c>
    </row>
    <row r="19" customFormat="false" ht="15" hidden="false" customHeight="false" outlineLevel="0" collapsed="false">
      <c r="A19" s="9" t="n">
        <v>45112</v>
      </c>
      <c r="B19" s="10" t="s">
        <v>148</v>
      </c>
      <c r="C19" s="10" t="s">
        <v>828</v>
      </c>
      <c r="D19" s="11" t="s">
        <v>865</v>
      </c>
      <c r="E19" s="10" t="s">
        <v>8</v>
      </c>
      <c r="F19" s="10" t="s">
        <v>830</v>
      </c>
      <c r="G19" s="10" t="s">
        <v>36</v>
      </c>
      <c r="H19" s="10" t="s">
        <v>8</v>
      </c>
      <c r="I19" s="10" t="s">
        <v>8</v>
      </c>
      <c r="J19" s="11"/>
      <c r="K19" s="10" t="n">
        <v>6731</v>
      </c>
    </row>
    <row r="20" customFormat="false" ht="15" hidden="false" customHeight="false" outlineLevel="0" collapsed="false">
      <c r="A20" s="9" t="n">
        <v>45167</v>
      </c>
      <c r="B20" s="10" t="s">
        <v>174</v>
      </c>
      <c r="C20" s="10" t="s">
        <v>828</v>
      </c>
      <c r="D20" s="11" t="s">
        <v>866</v>
      </c>
      <c r="E20" s="10" t="s">
        <v>8</v>
      </c>
      <c r="F20" s="10" t="s">
        <v>867</v>
      </c>
      <c r="G20" s="10" t="s">
        <v>36</v>
      </c>
      <c r="H20" s="10" t="s">
        <v>8</v>
      </c>
      <c r="I20" s="10" t="s">
        <v>8</v>
      </c>
      <c r="J20" s="11" t="s">
        <v>834</v>
      </c>
      <c r="K20" s="10" t="n">
        <v>6744</v>
      </c>
    </row>
    <row r="21" customFormat="false" ht="15" hidden="false" customHeight="false" outlineLevel="0" collapsed="false">
      <c r="A21" s="9" t="n">
        <v>45168</v>
      </c>
      <c r="B21" s="10" t="s">
        <v>176</v>
      </c>
      <c r="C21" s="10" t="s">
        <v>828</v>
      </c>
      <c r="D21" s="11" t="s">
        <v>868</v>
      </c>
      <c r="E21" s="10" t="s">
        <v>9</v>
      </c>
      <c r="F21" s="10" t="s">
        <v>869</v>
      </c>
      <c r="G21" s="10" t="s">
        <v>36</v>
      </c>
      <c r="H21" s="10" t="s">
        <v>8</v>
      </c>
      <c r="I21" s="10" t="s">
        <v>9</v>
      </c>
      <c r="J21" s="11" t="s">
        <v>838</v>
      </c>
      <c r="K21" s="10" t="n">
        <v>6745</v>
      </c>
    </row>
    <row r="22" customFormat="false" ht="23.85" hidden="false" customHeight="false" outlineLevel="0" collapsed="false">
      <c r="A22" s="9" t="n">
        <v>45181</v>
      </c>
      <c r="B22" s="10" t="s">
        <v>178</v>
      </c>
      <c r="C22" s="10" t="s">
        <v>828</v>
      </c>
      <c r="D22" s="11" t="s">
        <v>870</v>
      </c>
      <c r="E22" s="10" t="s">
        <v>8</v>
      </c>
      <c r="F22" s="10" t="s">
        <v>871</v>
      </c>
      <c r="G22" s="10" t="s">
        <v>36</v>
      </c>
      <c r="H22" s="10" t="s">
        <v>8</v>
      </c>
      <c r="I22" s="10" t="s">
        <v>8</v>
      </c>
      <c r="J22" s="11" t="s">
        <v>872</v>
      </c>
      <c r="K22" s="10" t="n">
        <v>6746</v>
      </c>
    </row>
    <row r="23" customFormat="false" ht="23.85" hidden="false" customHeight="false" outlineLevel="0" collapsed="false">
      <c r="A23" s="9" t="n">
        <v>45181</v>
      </c>
      <c r="B23" s="10" t="s">
        <v>178</v>
      </c>
      <c r="C23" s="10" t="s">
        <v>828</v>
      </c>
      <c r="D23" s="11" t="s">
        <v>870</v>
      </c>
      <c r="E23" s="10" t="s">
        <v>8</v>
      </c>
      <c r="F23" s="10" t="s">
        <v>873</v>
      </c>
      <c r="G23" s="10" t="s">
        <v>36</v>
      </c>
      <c r="H23" s="10" t="s">
        <v>8</v>
      </c>
      <c r="I23" s="10" t="s">
        <v>8</v>
      </c>
      <c r="J23" s="11" t="s">
        <v>874</v>
      </c>
      <c r="K23" s="10" t="n">
        <v>6747</v>
      </c>
    </row>
    <row r="24" customFormat="false" ht="15" hidden="false" customHeight="false" outlineLevel="0" collapsed="false">
      <c r="A24" s="9" t="n">
        <v>45196</v>
      </c>
      <c r="B24" s="10" t="s">
        <v>195</v>
      </c>
      <c r="C24" s="10" t="s">
        <v>875</v>
      </c>
      <c r="D24" s="11" t="s">
        <v>876</v>
      </c>
      <c r="E24" s="10" t="s">
        <v>15</v>
      </c>
      <c r="F24" s="10" t="s">
        <v>877</v>
      </c>
      <c r="G24" s="10" t="s">
        <v>36</v>
      </c>
      <c r="H24" s="10" t="s">
        <v>9</v>
      </c>
      <c r="I24" s="10" t="s">
        <v>8</v>
      </c>
      <c r="J24" s="11" t="s">
        <v>878</v>
      </c>
      <c r="K24" s="10" t="n">
        <v>6755</v>
      </c>
    </row>
    <row r="25" customFormat="false" ht="15" hidden="false" customHeight="false" outlineLevel="0" collapsed="false">
      <c r="A25" s="9" t="n">
        <v>45196</v>
      </c>
      <c r="B25" s="10" t="s">
        <v>198</v>
      </c>
      <c r="C25" s="10" t="s">
        <v>828</v>
      </c>
      <c r="D25" s="11" t="s">
        <v>879</v>
      </c>
      <c r="E25" s="10" t="s">
        <v>15</v>
      </c>
      <c r="F25" s="10" t="s">
        <v>880</v>
      </c>
      <c r="G25" s="10" t="s">
        <v>36</v>
      </c>
      <c r="H25" s="10" t="s">
        <v>9</v>
      </c>
      <c r="I25" s="10" t="s">
        <v>8</v>
      </c>
      <c r="J25" s="11" t="s">
        <v>878</v>
      </c>
      <c r="K25" s="10" t="n">
        <v>6756</v>
      </c>
    </row>
    <row r="26" customFormat="false" ht="15" hidden="false" customHeight="false" outlineLevel="0" collapsed="false">
      <c r="A26" s="9" t="n">
        <v>45196</v>
      </c>
      <c r="B26" s="10" t="s">
        <v>198</v>
      </c>
      <c r="C26" s="10" t="s">
        <v>835</v>
      </c>
      <c r="D26" s="11" t="s">
        <v>881</v>
      </c>
      <c r="E26" s="10" t="s">
        <v>15</v>
      </c>
      <c r="F26" s="10" t="s">
        <v>882</v>
      </c>
      <c r="G26" s="10" t="s">
        <v>36</v>
      </c>
      <c r="H26" s="10" t="s">
        <v>9</v>
      </c>
      <c r="I26" s="10" t="s">
        <v>8</v>
      </c>
      <c r="J26" s="11" t="s">
        <v>878</v>
      </c>
      <c r="K26" s="10" t="n">
        <v>6757</v>
      </c>
    </row>
    <row r="27" customFormat="false" ht="15" hidden="false" customHeight="false" outlineLevel="0" collapsed="false">
      <c r="A27" s="9" t="n">
        <v>45196</v>
      </c>
      <c r="B27" s="10" t="s">
        <v>198</v>
      </c>
      <c r="C27" s="10" t="s">
        <v>835</v>
      </c>
      <c r="D27" s="11" t="s">
        <v>881</v>
      </c>
      <c r="E27" s="10" t="s">
        <v>15</v>
      </c>
      <c r="F27" s="10" t="s">
        <v>882</v>
      </c>
      <c r="G27" s="10" t="s">
        <v>36</v>
      </c>
      <c r="H27" s="10" t="s">
        <v>9</v>
      </c>
      <c r="I27" s="10" t="s">
        <v>8</v>
      </c>
      <c r="J27" s="11" t="s">
        <v>878</v>
      </c>
      <c r="K27" s="10" t="n">
        <v>6758</v>
      </c>
    </row>
    <row r="28" customFormat="false" ht="15" hidden="false" customHeight="false" outlineLevel="0" collapsed="false">
      <c r="A28" s="9" t="n">
        <v>45203</v>
      </c>
      <c r="B28" s="10" t="s">
        <v>202</v>
      </c>
      <c r="C28" s="10" t="s">
        <v>828</v>
      </c>
      <c r="D28" s="11" t="s">
        <v>883</v>
      </c>
      <c r="E28" s="10" t="s">
        <v>8</v>
      </c>
      <c r="F28" s="10" t="s">
        <v>884</v>
      </c>
      <c r="G28" s="10" t="s">
        <v>36</v>
      </c>
      <c r="H28" s="10" t="s">
        <v>8</v>
      </c>
      <c r="I28" s="10" t="s">
        <v>843</v>
      </c>
      <c r="J28" s="11" t="s">
        <v>834</v>
      </c>
      <c r="K28" s="10" t="n">
        <v>6759</v>
      </c>
    </row>
    <row r="29" customFormat="false" ht="15" hidden="false" customHeight="false" outlineLevel="0" collapsed="false">
      <c r="A29" s="9" t="n">
        <v>45209</v>
      </c>
      <c r="B29" s="10" t="s">
        <v>204</v>
      </c>
      <c r="C29" s="10" t="s">
        <v>828</v>
      </c>
      <c r="D29" s="11" t="s">
        <v>885</v>
      </c>
      <c r="E29" s="10" t="s">
        <v>9</v>
      </c>
      <c r="F29" s="10" t="s">
        <v>886</v>
      </c>
      <c r="G29" s="10" t="s">
        <v>36</v>
      </c>
      <c r="H29" s="10" t="s">
        <v>8</v>
      </c>
      <c r="I29" s="10" t="s">
        <v>9</v>
      </c>
      <c r="J29" s="11" t="s">
        <v>838</v>
      </c>
      <c r="K29" s="10" t="n">
        <v>6760</v>
      </c>
    </row>
    <row r="30" customFormat="false" ht="15" hidden="false" customHeight="false" outlineLevel="0" collapsed="false">
      <c r="A30" s="9" t="n">
        <v>45223</v>
      </c>
      <c r="B30" s="10" t="s">
        <v>206</v>
      </c>
      <c r="C30" s="10" t="s">
        <v>875</v>
      </c>
      <c r="D30" s="11" t="s">
        <v>887</v>
      </c>
      <c r="E30" s="10" t="s">
        <v>8</v>
      </c>
      <c r="F30" s="10" t="s">
        <v>888</v>
      </c>
      <c r="G30" s="10" t="s">
        <v>108</v>
      </c>
      <c r="H30" s="10" t="s">
        <v>9</v>
      </c>
      <c r="I30" s="10" t="s">
        <v>8</v>
      </c>
      <c r="J30" s="11" t="s">
        <v>838</v>
      </c>
      <c r="K30" s="10" t="n">
        <v>6761</v>
      </c>
    </row>
    <row r="31" customFormat="false" ht="15" hidden="false" customHeight="false" outlineLevel="0" collapsed="false">
      <c r="A31" s="9" t="n">
        <v>45230</v>
      </c>
      <c r="B31" s="10" t="s">
        <v>220</v>
      </c>
      <c r="C31" s="10" t="s">
        <v>875</v>
      </c>
      <c r="D31" s="11" t="s">
        <v>889</v>
      </c>
      <c r="E31" s="10" t="s">
        <v>9</v>
      </c>
      <c r="F31" s="10" t="s">
        <v>890</v>
      </c>
      <c r="G31" s="10" t="s">
        <v>36</v>
      </c>
      <c r="H31" s="10" t="s">
        <v>8</v>
      </c>
      <c r="I31" s="10" t="s">
        <v>9</v>
      </c>
      <c r="J31" s="11" t="s">
        <v>838</v>
      </c>
      <c r="K31" s="10" t="n">
        <v>6768</v>
      </c>
    </row>
    <row r="32" customFormat="false" ht="15" hidden="false" customHeight="false" outlineLevel="0" collapsed="false">
      <c r="A32" s="9" t="n">
        <v>45231</v>
      </c>
      <c r="B32" s="10" t="s">
        <v>222</v>
      </c>
      <c r="C32" s="10" t="s">
        <v>835</v>
      </c>
      <c r="D32" s="11" t="s">
        <v>891</v>
      </c>
      <c r="E32" s="10" t="s">
        <v>9</v>
      </c>
      <c r="F32" s="10" t="s">
        <v>892</v>
      </c>
      <c r="G32" s="10" t="s">
        <v>36</v>
      </c>
      <c r="H32" s="10" t="s">
        <v>8</v>
      </c>
      <c r="I32" s="10" t="s">
        <v>843</v>
      </c>
      <c r="J32" s="11" t="s">
        <v>838</v>
      </c>
      <c r="K32" s="10" t="n">
        <v>6769</v>
      </c>
    </row>
    <row r="33" customFormat="false" ht="15" hidden="false" customHeight="false" outlineLevel="0" collapsed="false">
      <c r="A33" s="9" t="n">
        <v>45237</v>
      </c>
      <c r="B33" s="10" t="s">
        <v>224</v>
      </c>
      <c r="C33" s="10" t="s">
        <v>875</v>
      </c>
      <c r="D33" s="11" t="s">
        <v>893</v>
      </c>
      <c r="E33" s="10" t="s">
        <v>9</v>
      </c>
      <c r="F33" s="10" t="s">
        <v>894</v>
      </c>
      <c r="G33" s="10" t="s">
        <v>36</v>
      </c>
      <c r="H33" s="10" t="s">
        <v>8</v>
      </c>
      <c r="I33" s="10" t="s">
        <v>9</v>
      </c>
      <c r="J33" s="11" t="s">
        <v>838</v>
      </c>
      <c r="K33" s="10" t="n">
        <v>6772</v>
      </c>
    </row>
    <row r="34" customFormat="false" ht="23.85" hidden="false" customHeight="false" outlineLevel="0" collapsed="false">
      <c r="A34" s="9" t="n">
        <v>45238</v>
      </c>
      <c r="B34" s="10" t="s">
        <v>226</v>
      </c>
      <c r="C34" s="10" t="s">
        <v>828</v>
      </c>
      <c r="D34" s="11" t="s">
        <v>895</v>
      </c>
      <c r="E34" s="10" t="s">
        <v>9</v>
      </c>
      <c r="F34" s="10" t="s">
        <v>896</v>
      </c>
      <c r="G34" s="10" t="s">
        <v>36</v>
      </c>
      <c r="H34" s="10" t="s">
        <v>8</v>
      </c>
      <c r="I34" s="10" t="s">
        <v>9</v>
      </c>
      <c r="J34" s="11" t="s">
        <v>897</v>
      </c>
      <c r="K34" s="10" t="n">
        <v>6773</v>
      </c>
    </row>
    <row r="35" customFormat="false" ht="15" hidden="false" customHeight="false" outlineLevel="0" collapsed="false">
      <c r="A35" s="9" t="n">
        <v>45238</v>
      </c>
      <c r="B35" s="10" t="s">
        <v>226</v>
      </c>
      <c r="C35" s="10" t="s">
        <v>835</v>
      </c>
      <c r="D35" s="11" t="s">
        <v>898</v>
      </c>
      <c r="E35" s="10" t="s">
        <v>8</v>
      </c>
      <c r="F35" s="10" t="s">
        <v>899</v>
      </c>
      <c r="G35" s="10" t="s">
        <v>108</v>
      </c>
      <c r="H35" s="10" t="s">
        <v>9</v>
      </c>
      <c r="I35" s="10" t="s">
        <v>8</v>
      </c>
      <c r="J35" s="11" t="s">
        <v>838</v>
      </c>
      <c r="K35" s="10" t="n">
        <v>6774</v>
      </c>
    </row>
    <row r="36" customFormat="false" ht="15" hidden="false" customHeight="false" outlineLevel="0" collapsed="false">
      <c r="A36" s="9" t="n">
        <v>45238</v>
      </c>
      <c r="B36" s="10" t="s">
        <v>226</v>
      </c>
      <c r="C36" s="10" t="s">
        <v>835</v>
      </c>
      <c r="D36" s="11" t="s">
        <v>898</v>
      </c>
      <c r="E36" s="10" t="s">
        <v>12</v>
      </c>
      <c r="F36" s="10" t="s">
        <v>900</v>
      </c>
      <c r="G36" s="10" t="s">
        <v>36</v>
      </c>
      <c r="H36" s="10" t="s">
        <v>8</v>
      </c>
      <c r="I36" s="10" t="s">
        <v>8</v>
      </c>
      <c r="J36" s="11" t="s">
        <v>854</v>
      </c>
      <c r="K36" s="10" t="n">
        <v>6775</v>
      </c>
    </row>
    <row r="37" customFormat="false" ht="15" hidden="false" customHeight="false" outlineLevel="0" collapsed="false">
      <c r="A37" s="9" t="n">
        <v>45238</v>
      </c>
      <c r="B37" s="10" t="s">
        <v>226</v>
      </c>
      <c r="C37" s="10" t="s">
        <v>835</v>
      </c>
      <c r="D37" s="11" t="s">
        <v>898</v>
      </c>
      <c r="E37" s="10" t="s">
        <v>8</v>
      </c>
      <c r="F37" s="10" t="s">
        <v>901</v>
      </c>
      <c r="G37" s="10" t="s">
        <v>108</v>
      </c>
      <c r="H37" s="10" t="s">
        <v>9</v>
      </c>
      <c r="I37" s="10" t="s">
        <v>8</v>
      </c>
      <c r="J37" s="11" t="s">
        <v>838</v>
      </c>
      <c r="K37" s="10" t="n">
        <v>6776</v>
      </c>
    </row>
    <row r="38" customFormat="false" ht="23.85" hidden="false" customHeight="false" outlineLevel="0" collapsed="false">
      <c r="A38" s="9" t="n">
        <v>45238</v>
      </c>
      <c r="B38" s="10" t="s">
        <v>226</v>
      </c>
      <c r="C38" s="10" t="s">
        <v>828</v>
      </c>
      <c r="D38" s="11" t="s">
        <v>902</v>
      </c>
      <c r="E38" s="10" t="s">
        <v>9</v>
      </c>
      <c r="F38" s="10" t="s">
        <v>896</v>
      </c>
      <c r="G38" s="10" t="s">
        <v>36</v>
      </c>
      <c r="H38" s="10" t="s">
        <v>8</v>
      </c>
      <c r="I38" s="10" t="s">
        <v>9</v>
      </c>
      <c r="J38" s="11" t="s">
        <v>897</v>
      </c>
      <c r="K38" s="10" t="n">
        <v>6777</v>
      </c>
    </row>
    <row r="39" customFormat="false" ht="15" hidden="false" customHeight="false" outlineLevel="0" collapsed="false">
      <c r="A39" s="9" t="n">
        <v>45244</v>
      </c>
      <c r="B39" s="10" t="s">
        <v>232</v>
      </c>
      <c r="C39" s="10" t="s">
        <v>828</v>
      </c>
      <c r="D39" s="11" t="s">
        <v>903</v>
      </c>
      <c r="E39" s="10" t="s">
        <v>8</v>
      </c>
      <c r="F39" s="10" t="s">
        <v>904</v>
      </c>
      <c r="G39" s="10" t="s">
        <v>36</v>
      </c>
      <c r="H39" s="10" t="s">
        <v>8</v>
      </c>
      <c r="I39" s="10" t="s">
        <v>831</v>
      </c>
      <c r="J39" s="11" t="s">
        <v>834</v>
      </c>
      <c r="K39" s="10" t="n">
        <v>6778</v>
      </c>
    </row>
    <row r="40" customFormat="false" ht="15" hidden="false" customHeight="false" outlineLevel="0" collapsed="false">
      <c r="A40" s="9" t="n">
        <v>45251</v>
      </c>
      <c r="B40" s="10" t="s">
        <v>234</v>
      </c>
      <c r="C40" s="10" t="s">
        <v>875</v>
      </c>
      <c r="D40" s="11" t="s">
        <v>905</v>
      </c>
      <c r="E40" s="10" t="s">
        <v>8</v>
      </c>
      <c r="F40" s="10" t="s">
        <v>906</v>
      </c>
      <c r="G40" s="10" t="s">
        <v>36</v>
      </c>
      <c r="H40" s="10" t="s">
        <v>831</v>
      </c>
      <c r="I40" s="10" t="s">
        <v>8</v>
      </c>
      <c r="J40" s="11"/>
      <c r="K40" s="10" t="n">
        <v>6779</v>
      </c>
    </row>
    <row r="41" customFormat="false" ht="15" hidden="false" customHeight="false" outlineLevel="0" collapsed="false">
      <c r="A41" s="9" t="n">
        <v>45251</v>
      </c>
      <c r="B41" s="10" t="s">
        <v>236</v>
      </c>
      <c r="C41" s="10" t="s">
        <v>875</v>
      </c>
      <c r="D41" s="11" t="s">
        <v>905</v>
      </c>
      <c r="E41" s="10" t="s">
        <v>8</v>
      </c>
      <c r="F41" s="10" t="s">
        <v>906</v>
      </c>
      <c r="G41" s="10" t="s">
        <v>36</v>
      </c>
      <c r="H41" s="10" t="s">
        <v>831</v>
      </c>
      <c r="I41" s="10" t="s">
        <v>8</v>
      </c>
      <c r="J41" s="11"/>
      <c r="K41" s="10" t="n">
        <v>6780</v>
      </c>
    </row>
    <row r="42" customFormat="false" ht="15" hidden="false" customHeight="false" outlineLevel="0" collapsed="false">
      <c r="A42" s="9" t="n">
        <v>45252</v>
      </c>
      <c r="B42" s="10" t="s">
        <v>236</v>
      </c>
      <c r="C42" s="10" t="s">
        <v>835</v>
      </c>
      <c r="D42" s="11" t="s">
        <v>907</v>
      </c>
      <c r="E42" s="10" t="s">
        <v>8</v>
      </c>
      <c r="F42" s="10" t="s">
        <v>908</v>
      </c>
      <c r="G42" s="10" t="s">
        <v>36</v>
      </c>
      <c r="H42" s="10" t="s">
        <v>831</v>
      </c>
      <c r="I42" s="10" t="s">
        <v>8</v>
      </c>
      <c r="J42" s="11"/>
      <c r="K42" s="10" t="n">
        <v>6781</v>
      </c>
    </row>
    <row r="43" customFormat="false" ht="15" hidden="false" customHeight="false" outlineLevel="0" collapsed="false">
      <c r="A43" s="9" t="n">
        <v>45252</v>
      </c>
      <c r="B43" s="10" t="s">
        <v>236</v>
      </c>
      <c r="C43" s="10" t="s">
        <v>828</v>
      </c>
      <c r="D43" s="11" t="s">
        <v>909</v>
      </c>
      <c r="E43" s="10" t="s">
        <v>8</v>
      </c>
      <c r="F43" s="10" t="s">
        <v>908</v>
      </c>
      <c r="G43" s="10" t="s">
        <v>36</v>
      </c>
      <c r="H43" s="10" t="s">
        <v>831</v>
      </c>
      <c r="I43" s="10" t="s">
        <v>8</v>
      </c>
      <c r="J43" s="11" t="s">
        <v>910</v>
      </c>
      <c r="K43" s="10" t="n">
        <v>6782</v>
      </c>
    </row>
    <row r="44" customFormat="false" ht="23.85" hidden="false" customHeight="false" outlineLevel="0" collapsed="false">
      <c r="A44" s="9" t="n">
        <v>45259</v>
      </c>
      <c r="B44" s="10" t="s">
        <v>240</v>
      </c>
      <c r="C44" s="10" t="s">
        <v>828</v>
      </c>
      <c r="D44" s="11" t="s">
        <v>911</v>
      </c>
      <c r="E44" s="10" t="s">
        <v>8</v>
      </c>
      <c r="F44" s="10" t="s">
        <v>867</v>
      </c>
      <c r="G44" s="10" t="s">
        <v>36</v>
      </c>
      <c r="H44" s="10" t="s">
        <v>8</v>
      </c>
      <c r="I44" s="10" t="s">
        <v>8</v>
      </c>
      <c r="J44" s="11" t="s">
        <v>834</v>
      </c>
      <c r="K44" s="10" t="n">
        <v>6783</v>
      </c>
    </row>
    <row r="45" customFormat="false" ht="15" hidden="false" customHeight="false" outlineLevel="0" collapsed="false">
      <c r="A45" s="9" t="n">
        <v>45272</v>
      </c>
      <c r="B45" s="10" t="s">
        <v>266</v>
      </c>
      <c r="C45" s="10" t="s">
        <v>875</v>
      </c>
      <c r="D45" s="11" t="s">
        <v>912</v>
      </c>
      <c r="E45" s="10" t="s">
        <v>9</v>
      </c>
      <c r="F45" s="10" t="s">
        <v>913</v>
      </c>
      <c r="G45" s="10" t="s">
        <v>36</v>
      </c>
      <c r="H45" s="10" t="s">
        <v>831</v>
      </c>
      <c r="I45" s="10" t="s">
        <v>8</v>
      </c>
      <c r="J45" s="11" t="s">
        <v>914</v>
      </c>
      <c r="K45" s="10" t="n">
        <v>6796</v>
      </c>
    </row>
    <row r="46" customFormat="false" ht="15" hidden="false" customHeight="false" outlineLevel="0" collapsed="false">
      <c r="A46" s="9" t="n">
        <v>45272</v>
      </c>
      <c r="B46" s="10" t="s">
        <v>268</v>
      </c>
      <c r="C46" s="10" t="s">
        <v>835</v>
      </c>
      <c r="D46" s="11" t="s">
        <v>915</v>
      </c>
      <c r="E46" s="10" t="s">
        <v>8</v>
      </c>
      <c r="F46" s="10" t="s">
        <v>916</v>
      </c>
      <c r="G46" s="10" t="s">
        <v>36</v>
      </c>
      <c r="H46" s="10" t="s">
        <v>9</v>
      </c>
      <c r="I46" s="10" t="s">
        <v>8</v>
      </c>
      <c r="J46" s="11" t="s">
        <v>838</v>
      </c>
      <c r="K46" s="10" t="n">
        <v>6797</v>
      </c>
    </row>
    <row r="47" customFormat="false" ht="15" hidden="false" customHeight="false" outlineLevel="0" collapsed="false">
      <c r="A47" s="9" t="n">
        <v>45272</v>
      </c>
      <c r="B47" s="10" t="s">
        <v>268</v>
      </c>
      <c r="C47" s="10" t="s">
        <v>835</v>
      </c>
      <c r="D47" s="11" t="s">
        <v>915</v>
      </c>
      <c r="E47" s="10" t="s">
        <v>8</v>
      </c>
      <c r="F47" s="10" t="s">
        <v>917</v>
      </c>
      <c r="G47" s="10" t="s">
        <v>36</v>
      </c>
      <c r="H47" s="10" t="s">
        <v>9</v>
      </c>
      <c r="I47" s="10" t="s">
        <v>8</v>
      </c>
      <c r="J47" s="11" t="s">
        <v>838</v>
      </c>
      <c r="K47" s="10" t="n">
        <v>6798</v>
      </c>
    </row>
    <row r="48" customFormat="false" ht="15" hidden="false" customHeight="false" outlineLevel="0" collapsed="false">
      <c r="A48" s="9" t="n">
        <v>45272</v>
      </c>
      <c r="B48" s="10" t="s">
        <v>268</v>
      </c>
      <c r="C48" s="10" t="s">
        <v>875</v>
      </c>
      <c r="D48" s="11" t="s">
        <v>912</v>
      </c>
      <c r="E48" s="10" t="s">
        <v>9</v>
      </c>
      <c r="F48" s="10" t="s">
        <v>913</v>
      </c>
      <c r="G48" s="10" t="s">
        <v>36</v>
      </c>
      <c r="H48" s="10" t="s">
        <v>831</v>
      </c>
      <c r="I48" s="10" t="s">
        <v>8</v>
      </c>
      <c r="J48" s="11" t="s">
        <v>914</v>
      </c>
      <c r="K48" s="10" t="n">
        <v>6799</v>
      </c>
    </row>
    <row r="49" customFormat="false" ht="15" hidden="false" customHeight="false" outlineLevel="0" collapsed="false">
      <c r="A49" s="9" t="n">
        <v>45272</v>
      </c>
      <c r="B49" s="10" t="s">
        <v>268</v>
      </c>
      <c r="C49" s="10" t="s">
        <v>835</v>
      </c>
      <c r="D49" s="11" t="s">
        <v>915</v>
      </c>
      <c r="E49" s="10" t="s">
        <v>8</v>
      </c>
      <c r="F49" s="10" t="s">
        <v>918</v>
      </c>
      <c r="G49" s="10" t="s">
        <v>108</v>
      </c>
      <c r="H49" s="10" t="s">
        <v>9</v>
      </c>
      <c r="I49" s="10" t="s">
        <v>843</v>
      </c>
      <c r="J49" s="11" t="s">
        <v>838</v>
      </c>
      <c r="K49" s="10" t="n">
        <v>6800</v>
      </c>
    </row>
    <row r="50" customFormat="false" ht="15" hidden="false" customHeight="false" outlineLevel="0" collapsed="false">
      <c r="A50" s="9" t="n">
        <v>45280</v>
      </c>
      <c r="B50" s="10" t="s">
        <v>303</v>
      </c>
      <c r="C50" s="10" t="s">
        <v>828</v>
      </c>
      <c r="D50" s="11" t="s">
        <v>919</v>
      </c>
      <c r="E50" s="10" t="s">
        <v>9</v>
      </c>
      <c r="F50" s="10" t="s">
        <v>920</v>
      </c>
      <c r="G50" s="10" t="s">
        <v>36</v>
      </c>
      <c r="H50" s="10" t="s">
        <v>8</v>
      </c>
      <c r="I50" s="10" t="s">
        <v>9</v>
      </c>
      <c r="J50" s="11" t="s">
        <v>838</v>
      </c>
      <c r="K50" s="10" t="n">
        <v>6816</v>
      </c>
    </row>
    <row r="51" customFormat="false" ht="15" hidden="false" customHeight="false" outlineLevel="0" collapsed="false">
      <c r="A51" s="9" t="n">
        <v>45280</v>
      </c>
      <c r="B51" s="10" t="s">
        <v>303</v>
      </c>
      <c r="C51" s="10" t="s">
        <v>835</v>
      </c>
      <c r="D51" s="11" t="s">
        <v>921</v>
      </c>
      <c r="E51" s="10" t="s">
        <v>8</v>
      </c>
      <c r="F51" s="10" t="s">
        <v>899</v>
      </c>
      <c r="G51" s="10" t="s">
        <v>108</v>
      </c>
      <c r="H51" s="10" t="s">
        <v>9</v>
      </c>
      <c r="I51" s="10" t="s">
        <v>8</v>
      </c>
      <c r="J51" s="11" t="s">
        <v>838</v>
      </c>
      <c r="K51" s="10" t="n">
        <v>6817</v>
      </c>
    </row>
    <row r="52" customFormat="false" ht="23.85" hidden="false" customHeight="false" outlineLevel="0" collapsed="false">
      <c r="A52" s="9" t="n">
        <v>45342</v>
      </c>
      <c r="B52" s="10" t="s">
        <v>306</v>
      </c>
      <c r="C52" s="10" t="s">
        <v>828</v>
      </c>
      <c r="D52" s="11" t="s">
        <v>922</v>
      </c>
      <c r="E52" s="10" t="s">
        <v>8</v>
      </c>
      <c r="F52" s="10" t="s">
        <v>923</v>
      </c>
      <c r="G52" s="10" t="s">
        <v>36</v>
      </c>
      <c r="H52" s="10" t="s">
        <v>843</v>
      </c>
      <c r="I52" s="10" t="s">
        <v>8</v>
      </c>
      <c r="J52" s="11" t="s">
        <v>834</v>
      </c>
      <c r="K52" s="10" t="n">
        <v>6818</v>
      </c>
    </row>
    <row r="53" customFormat="false" ht="15" hidden="false" customHeight="false" outlineLevel="0" collapsed="false">
      <c r="A53" s="9" t="n">
        <v>45342</v>
      </c>
      <c r="B53" s="10" t="s">
        <v>306</v>
      </c>
      <c r="C53" s="10" t="s">
        <v>835</v>
      </c>
      <c r="D53" s="11" t="s">
        <v>924</v>
      </c>
      <c r="E53" s="10" t="s">
        <v>9</v>
      </c>
      <c r="F53" s="10" t="s">
        <v>925</v>
      </c>
      <c r="G53" s="10" t="s">
        <v>108</v>
      </c>
      <c r="H53" s="10" t="s">
        <v>843</v>
      </c>
      <c r="I53" s="10" t="s">
        <v>9</v>
      </c>
      <c r="J53" s="11"/>
      <c r="K53" s="10" t="n">
        <v>6819</v>
      </c>
    </row>
    <row r="54" customFormat="false" ht="15" hidden="false" customHeight="false" outlineLevel="0" collapsed="false">
      <c r="A54" s="9" t="n">
        <v>45356</v>
      </c>
      <c r="B54" s="10" t="s">
        <v>309</v>
      </c>
      <c r="C54" s="10" t="s">
        <v>828</v>
      </c>
      <c r="D54" s="11" t="s">
        <v>926</v>
      </c>
      <c r="E54" s="10" t="s">
        <v>9</v>
      </c>
      <c r="F54" s="10" t="s">
        <v>927</v>
      </c>
      <c r="G54" s="10" t="s">
        <v>36</v>
      </c>
      <c r="H54" s="10" t="s">
        <v>831</v>
      </c>
      <c r="I54" s="10" t="s">
        <v>843</v>
      </c>
      <c r="J54" s="11"/>
      <c r="K54" s="10" t="n">
        <v>6820</v>
      </c>
    </row>
    <row r="55" customFormat="false" ht="15" hidden="false" customHeight="false" outlineLevel="0" collapsed="false">
      <c r="A55" s="9" t="n">
        <v>45364</v>
      </c>
      <c r="B55" s="10" t="s">
        <v>311</v>
      </c>
      <c r="C55" s="10" t="s">
        <v>828</v>
      </c>
      <c r="D55" s="11" t="s">
        <v>928</v>
      </c>
      <c r="E55" s="10" t="s">
        <v>8</v>
      </c>
      <c r="F55" s="10" t="s">
        <v>929</v>
      </c>
      <c r="G55" s="10" t="s">
        <v>36</v>
      </c>
      <c r="H55" s="10" t="s">
        <v>8</v>
      </c>
      <c r="I55" s="10" t="s">
        <v>8</v>
      </c>
      <c r="J55" s="11" t="s">
        <v>930</v>
      </c>
      <c r="K55" s="10" t="n">
        <v>6821</v>
      </c>
    </row>
    <row r="56" customFormat="false" ht="15" hidden="false" customHeight="false" outlineLevel="0" collapsed="false">
      <c r="A56" s="9" t="n">
        <v>45364</v>
      </c>
      <c r="B56" s="10" t="s">
        <v>311</v>
      </c>
      <c r="C56" s="10" t="s">
        <v>828</v>
      </c>
      <c r="D56" s="11" t="s">
        <v>931</v>
      </c>
      <c r="E56" s="10" t="s">
        <v>8</v>
      </c>
      <c r="F56" s="10" t="s">
        <v>932</v>
      </c>
      <c r="G56" s="10" t="s">
        <v>36</v>
      </c>
      <c r="H56" s="10" t="s">
        <v>8</v>
      </c>
      <c r="I56" s="10" t="s">
        <v>8</v>
      </c>
      <c r="J56" s="11" t="s">
        <v>933</v>
      </c>
      <c r="K56" s="10" t="n">
        <v>6822</v>
      </c>
    </row>
    <row r="57" customFormat="false" ht="15" hidden="false" customHeight="false" outlineLevel="0" collapsed="false">
      <c r="A57" s="9" t="n">
        <v>45392</v>
      </c>
      <c r="B57" s="10" t="s">
        <v>314</v>
      </c>
      <c r="C57" s="10" t="s">
        <v>828</v>
      </c>
      <c r="D57" s="11" t="s">
        <v>934</v>
      </c>
      <c r="E57" s="10" t="s">
        <v>8</v>
      </c>
      <c r="F57" s="10" t="s">
        <v>935</v>
      </c>
      <c r="G57" s="10" t="s">
        <v>36</v>
      </c>
      <c r="H57" s="10" t="s">
        <v>8</v>
      </c>
      <c r="I57" s="10" t="s">
        <v>8</v>
      </c>
      <c r="J57" s="11" t="s">
        <v>834</v>
      </c>
      <c r="K57" s="10" t="n">
        <v>6823</v>
      </c>
    </row>
    <row r="58" customFormat="false" ht="15" hidden="false" customHeight="false" outlineLevel="0" collapsed="false">
      <c r="A58" s="9" t="n">
        <v>45398</v>
      </c>
      <c r="B58" s="10" t="s">
        <v>316</v>
      </c>
      <c r="C58" s="10" t="s">
        <v>828</v>
      </c>
      <c r="D58" s="11" t="s">
        <v>936</v>
      </c>
      <c r="E58" s="10" t="s">
        <v>8</v>
      </c>
      <c r="F58" s="10" t="s">
        <v>937</v>
      </c>
      <c r="G58" s="10" t="s">
        <v>36</v>
      </c>
      <c r="H58" s="10" t="s">
        <v>831</v>
      </c>
      <c r="I58" s="10" t="s">
        <v>8</v>
      </c>
      <c r="J58" s="11" t="s">
        <v>938</v>
      </c>
      <c r="K58" s="10" t="n">
        <v>6824</v>
      </c>
    </row>
    <row r="59" customFormat="false" ht="15" hidden="false" customHeight="false" outlineLevel="0" collapsed="false">
      <c r="A59" s="9" t="n">
        <v>45398</v>
      </c>
      <c r="B59" s="10" t="s">
        <v>316</v>
      </c>
      <c r="C59" s="10" t="s">
        <v>828</v>
      </c>
      <c r="D59" s="11" t="s">
        <v>939</v>
      </c>
      <c r="E59" s="10" t="s">
        <v>8</v>
      </c>
      <c r="F59" s="10" t="s">
        <v>940</v>
      </c>
      <c r="G59" s="10" t="s">
        <v>36</v>
      </c>
      <c r="H59" s="10" t="s">
        <v>831</v>
      </c>
      <c r="I59" s="10" t="s">
        <v>8</v>
      </c>
      <c r="J59" s="11" t="s">
        <v>910</v>
      </c>
      <c r="K59" s="10" t="n">
        <v>6825</v>
      </c>
    </row>
    <row r="60" customFormat="false" ht="15" hidden="false" customHeight="false" outlineLevel="0" collapsed="false">
      <c r="A60" s="9" t="n">
        <v>45399</v>
      </c>
      <c r="B60" s="10" t="s">
        <v>319</v>
      </c>
      <c r="C60" s="10" t="s">
        <v>828</v>
      </c>
      <c r="D60" s="11" t="s">
        <v>941</v>
      </c>
      <c r="E60" s="10" t="s">
        <v>8</v>
      </c>
      <c r="F60" s="10" t="s">
        <v>942</v>
      </c>
      <c r="G60" s="10" t="s">
        <v>36</v>
      </c>
      <c r="H60" s="10" t="s">
        <v>8</v>
      </c>
      <c r="I60" s="10" t="s">
        <v>8</v>
      </c>
      <c r="J60" s="11"/>
      <c r="K60" s="10" t="n">
        <v>6826</v>
      </c>
    </row>
    <row r="61" customFormat="false" ht="15" hidden="false" customHeight="false" outlineLevel="0" collapsed="false">
      <c r="A61" s="9" t="n">
        <v>45420</v>
      </c>
      <c r="B61" s="10" t="s">
        <v>321</v>
      </c>
      <c r="C61" s="10" t="s">
        <v>828</v>
      </c>
      <c r="D61" s="11" t="s">
        <v>943</v>
      </c>
      <c r="E61" s="10" t="s">
        <v>9</v>
      </c>
      <c r="F61" s="10" t="s">
        <v>944</v>
      </c>
      <c r="G61" s="10" t="s">
        <v>36</v>
      </c>
      <c r="H61" s="10" t="s">
        <v>8</v>
      </c>
      <c r="I61" s="10" t="s">
        <v>9</v>
      </c>
      <c r="J61" s="11" t="s">
        <v>838</v>
      </c>
      <c r="K61" s="10" t="n">
        <v>6827</v>
      </c>
    </row>
    <row r="62" customFormat="false" ht="15" hidden="false" customHeight="false" outlineLevel="0" collapsed="false">
      <c r="A62" s="9" t="n">
        <v>45420</v>
      </c>
      <c r="B62" s="10" t="s">
        <v>321</v>
      </c>
      <c r="C62" s="10" t="s">
        <v>835</v>
      </c>
      <c r="D62" s="11" t="s">
        <v>945</v>
      </c>
      <c r="E62" s="10" t="s">
        <v>9</v>
      </c>
      <c r="F62" s="10" t="s">
        <v>946</v>
      </c>
      <c r="G62" s="10" t="s">
        <v>36</v>
      </c>
      <c r="H62" s="10" t="s">
        <v>8</v>
      </c>
      <c r="I62" s="10" t="s">
        <v>9</v>
      </c>
      <c r="J62" s="11" t="s">
        <v>838</v>
      </c>
      <c r="K62" s="10" t="n">
        <v>6828</v>
      </c>
    </row>
    <row r="63" customFormat="false" ht="15" hidden="false" customHeight="false" outlineLevel="0" collapsed="false">
      <c r="A63" s="9" t="n">
        <v>45420</v>
      </c>
      <c r="B63" s="10" t="s">
        <v>321</v>
      </c>
      <c r="C63" s="10" t="s">
        <v>835</v>
      </c>
      <c r="D63" s="11" t="s">
        <v>947</v>
      </c>
      <c r="E63" s="10" t="s">
        <v>8</v>
      </c>
      <c r="F63" s="10" t="s">
        <v>948</v>
      </c>
      <c r="G63" s="10" t="s">
        <v>108</v>
      </c>
      <c r="H63" s="10" t="s">
        <v>9</v>
      </c>
      <c r="I63" s="10" t="s">
        <v>8</v>
      </c>
      <c r="J63" s="11" t="s">
        <v>838</v>
      </c>
      <c r="K63" s="10" t="n">
        <v>6829</v>
      </c>
    </row>
    <row r="64" customFormat="false" ht="15" hidden="false" customHeight="false" outlineLevel="0" collapsed="false">
      <c r="A64" s="9" t="n">
        <v>45420</v>
      </c>
      <c r="B64" s="10" t="s">
        <v>321</v>
      </c>
      <c r="C64" s="10" t="s">
        <v>835</v>
      </c>
      <c r="D64" s="11" t="s">
        <v>947</v>
      </c>
      <c r="E64" s="10" t="s">
        <v>8</v>
      </c>
      <c r="F64" s="10" t="s">
        <v>949</v>
      </c>
      <c r="G64" s="10" t="s">
        <v>108</v>
      </c>
      <c r="H64" s="10" t="s">
        <v>9</v>
      </c>
      <c r="I64" s="10" t="s">
        <v>8</v>
      </c>
      <c r="J64" s="11" t="s">
        <v>838</v>
      </c>
      <c r="K64" s="10" t="n">
        <v>6830</v>
      </c>
    </row>
    <row r="65" customFormat="false" ht="15" hidden="false" customHeight="false" outlineLevel="0" collapsed="false">
      <c r="A65" s="9" t="n">
        <v>45427</v>
      </c>
      <c r="B65" s="10" t="s">
        <v>326</v>
      </c>
      <c r="C65" s="10" t="s">
        <v>828</v>
      </c>
      <c r="D65" s="11" t="s">
        <v>950</v>
      </c>
      <c r="E65" s="10" t="s">
        <v>8</v>
      </c>
      <c r="F65" s="10" t="s">
        <v>867</v>
      </c>
      <c r="G65" s="10" t="s">
        <v>36</v>
      </c>
      <c r="H65" s="10" t="s">
        <v>8</v>
      </c>
      <c r="I65" s="10" t="s">
        <v>8</v>
      </c>
      <c r="J65" s="11" t="s">
        <v>834</v>
      </c>
      <c r="K65" s="10" t="n">
        <v>6831</v>
      </c>
    </row>
    <row r="66" customFormat="false" ht="15" hidden="false" customHeight="false" outlineLevel="0" collapsed="false">
      <c r="A66" s="9" t="n">
        <v>45427</v>
      </c>
      <c r="B66" s="10" t="s">
        <v>326</v>
      </c>
      <c r="C66" s="10" t="s">
        <v>835</v>
      </c>
      <c r="D66" s="11" t="s">
        <v>951</v>
      </c>
      <c r="E66" s="10" t="s">
        <v>8</v>
      </c>
      <c r="F66" s="10" t="s">
        <v>952</v>
      </c>
      <c r="G66" s="10" t="s">
        <v>108</v>
      </c>
      <c r="H66" s="10" t="s">
        <v>9</v>
      </c>
      <c r="I66" s="10" t="s">
        <v>8</v>
      </c>
      <c r="J66" s="11" t="s">
        <v>838</v>
      </c>
      <c r="K66" s="10" t="n">
        <v>6832</v>
      </c>
    </row>
    <row r="67" customFormat="false" ht="15" hidden="false" customHeight="false" outlineLevel="0" collapsed="false">
      <c r="A67" s="9" t="n">
        <v>45434</v>
      </c>
      <c r="B67" s="10" t="s">
        <v>329</v>
      </c>
      <c r="C67" s="10" t="s">
        <v>828</v>
      </c>
      <c r="D67" s="11" t="s">
        <v>953</v>
      </c>
      <c r="E67" s="10" t="s">
        <v>8</v>
      </c>
      <c r="F67" s="10" t="s">
        <v>923</v>
      </c>
      <c r="G67" s="10" t="s">
        <v>36</v>
      </c>
      <c r="H67" s="10" t="s">
        <v>831</v>
      </c>
      <c r="I67" s="10" t="s">
        <v>843</v>
      </c>
      <c r="J67" s="11" t="s">
        <v>834</v>
      </c>
      <c r="K67" s="10" t="n">
        <v>6833</v>
      </c>
    </row>
    <row r="68" customFormat="false" ht="23.85" hidden="false" customHeight="false" outlineLevel="0" collapsed="false">
      <c r="A68" s="9" t="n">
        <v>45434</v>
      </c>
      <c r="B68" s="10" t="s">
        <v>331</v>
      </c>
      <c r="C68" s="10" t="s">
        <v>875</v>
      </c>
      <c r="D68" s="11" t="s">
        <v>954</v>
      </c>
      <c r="E68" s="10" t="s">
        <v>8</v>
      </c>
      <c r="F68" s="10" t="s">
        <v>955</v>
      </c>
      <c r="G68" s="10" t="s">
        <v>108</v>
      </c>
      <c r="H68" s="10" t="s">
        <v>9</v>
      </c>
      <c r="I68" s="10" t="s">
        <v>8</v>
      </c>
      <c r="J68" s="11" t="s">
        <v>838</v>
      </c>
      <c r="K68" s="10" t="n">
        <v>6834</v>
      </c>
    </row>
    <row r="69" customFormat="false" ht="23.85" hidden="false" customHeight="false" outlineLevel="0" collapsed="false">
      <c r="A69" s="9" t="n">
        <v>45434</v>
      </c>
      <c r="B69" s="10" t="s">
        <v>333</v>
      </c>
      <c r="C69" s="10" t="s">
        <v>875</v>
      </c>
      <c r="D69" s="11" t="s">
        <v>954</v>
      </c>
      <c r="E69" s="10" t="s">
        <v>8</v>
      </c>
      <c r="F69" s="10" t="s">
        <v>955</v>
      </c>
      <c r="G69" s="10" t="s">
        <v>108</v>
      </c>
      <c r="H69" s="10" t="s">
        <v>9</v>
      </c>
      <c r="I69" s="10" t="s">
        <v>8</v>
      </c>
      <c r="J69" s="11" t="s">
        <v>838</v>
      </c>
      <c r="K69" s="10" t="n">
        <v>6835</v>
      </c>
    </row>
    <row r="70" customFormat="false" ht="15" hidden="false" customHeight="false" outlineLevel="0" collapsed="false">
      <c r="A70" s="9" t="n">
        <v>45448</v>
      </c>
      <c r="B70" s="10" t="s">
        <v>335</v>
      </c>
      <c r="C70" s="10" t="s">
        <v>828</v>
      </c>
      <c r="D70" s="11" t="s">
        <v>956</v>
      </c>
      <c r="E70" s="10" t="s">
        <v>8</v>
      </c>
      <c r="F70" s="10" t="s">
        <v>845</v>
      </c>
      <c r="G70" s="10" t="s">
        <v>36</v>
      </c>
      <c r="H70" s="10" t="s">
        <v>8</v>
      </c>
      <c r="I70" s="10" t="s">
        <v>8</v>
      </c>
      <c r="J70" s="11" t="s">
        <v>834</v>
      </c>
      <c r="K70" s="10" t="n">
        <v>6836</v>
      </c>
    </row>
    <row r="71" customFormat="false" ht="15" hidden="false" customHeight="false" outlineLevel="0" collapsed="false">
      <c r="A71" s="9" t="n">
        <v>45461</v>
      </c>
      <c r="B71" s="10" t="s">
        <v>337</v>
      </c>
      <c r="C71" s="10" t="s">
        <v>835</v>
      </c>
      <c r="D71" s="11" t="s">
        <v>957</v>
      </c>
      <c r="E71" s="10" t="s">
        <v>9</v>
      </c>
      <c r="F71" s="10" t="s">
        <v>958</v>
      </c>
      <c r="G71" s="10" t="s">
        <v>36</v>
      </c>
      <c r="H71" s="10" t="s">
        <v>8</v>
      </c>
      <c r="I71" s="10" t="s">
        <v>9</v>
      </c>
      <c r="J71" s="11" t="s">
        <v>838</v>
      </c>
      <c r="K71" s="10" t="n">
        <v>6837</v>
      </c>
    </row>
    <row r="72" customFormat="false" ht="15" hidden="false" customHeight="false" outlineLevel="0" collapsed="false">
      <c r="A72" s="9" t="n">
        <v>45475</v>
      </c>
      <c r="B72" s="10" t="s">
        <v>353</v>
      </c>
      <c r="C72" s="10" t="s">
        <v>828</v>
      </c>
      <c r="D72" s="11" t="s">
        <v>959</v>
      </c>
      <c r="E72" s="10" t="s">
        <v>8</v>
      </c>
      <c r="F72" s="10" t="s">
        <v>960</v>
      </c>
      <c r="G72" s="10" t="s">
        <v>36</v>
      </c>
      <c r="H72" s="10" t="s">
        <v>8</v>
      </c>
      <c r="I72" s="10" t="s">
        <v>8</v>
      </c>
      <c r="J72" s="11" t="s">
        <v>834</v>
      </c>
      <c r="K72" s="10" t="n">
        <v>6848</v>
      </c>
    </row>
    <row r="73" customFormat="false" ht="15" hidden="false" customHeight="false" outlineLevel="0" collapsed="false">
      <c r="A73" s="9" t="n">
        <v>45476</v>
      </c>
      <c r="B73" s="10" t="s">
        <v>355</v>
      </c>
      <c r="C73" s="10" t="s">
        <v>835</v>
      </c>
      <c r="D73" s="11" t="s">
        <v>961</v>
      </c>
      <c r="E73" s="10" t="s">
        <v>12</v>
      </c>
      <c r="F73" s="10" t="s">
        <v>962</v>
      </c>
      <c r="G73" s="10" t="s">
        <v>108</v>
      </c>
      <c r="H73" s="10" t="s">
        <v>9</v>
      </c>
      <c r="I73" s="10" t="s">
        <v>9</v>
      </c>
      <c r="J73" s="11" t="s">
        <v>854</v>
      </c>
      <c r="K73" s="10" t="n">
        <v>6849</v>
      </c>
    </row>
    <row r="74" customFormat="false" ht="23.85" hidden="false" customHeight="false" outlineLevel="0" collapsed="false">
      <c r="A74" s="9" t="n">
        <v>45476</v>
      </c>
      <c r="B74" s="10" t="s">
        <v>357</v>
      </c>
      <c r="C74" s="10" t="s">
        <v>828</v>
      </c>
      <c r="D74" s="11" t="s">
        <v>963</v>
      </c>
      <c r="E74" s="10" t="s">
        <v>8</v>
      </c>
      <c r="F74" s="10" t="s">
        <v>964</v>
      </c>
      <c r="G74" s="10" t="s">
        <v>36</v>
      </c>
      <c r="H74" s="10" t="s">
        <v>8</v>
      </c>
      <c r="I74" s="10" t="s">
        <v>8</v>
      </c>
      <c r="J74" s="11"/>
      <c r="K74" s="10" t="n">
        <v>6850</v>
      </c>
    </row>
    <row r="75" customFormat="false" ht="15" hidden="false" customHeight="false" outlineLevel="0" collapsed="false">
      <c r="A75" s="9" t="n">
        <v>45517</v>
      </c>
      <c r="B75" s="10" t="s">
        <v>381</v>
      </c>
      <c r="C75" s="10" t="s">
        <v>835</v>
      </c>
      <c r="D75" s="11" t="s">
        <v>965</v>
      </c>
      <c r="E75" s="10" t="s">
        <v>8</v>
      </c>
      <c r="F75" s="10" t="s">
        <v>966</v>
      </c>
      <c r="G75" s="10" t="s">
        <v>108</v>
      </c>
      <c r="H75" s="10" t="s">
        <v>831</v>
      </c>
      <c r="I75" s="10" t="s">
        <v>8</v>
      </c>
      <c r="J75" s="11"/>
      <c r="K75" s="10" t="n">
        <v>6862</v>
      </c>
    </row>
    <row r="76" customFormat="false" ht="15" hidden="false" customHeight="false" outlineLevel="0" collapsed="false">
      <c r="A76" s="9" t="n">
        <v>45518</v>
      </c>
      <c r="B76" s="10" t="s">
        <v>383</v>
      </c>
      <c r="C76" s="10" t="s">
        <v>828</v>
      </c>
      <c r="D76" s="11" t="s">
        <v>967</v>
      </c>
      <c r="E76" s="10" t="s">
        <v>8</v>
      </c>
      <c r="F76" s="10" t="s">
        <v>968</v>
      </c>
      <c r="G76" s="10" t="s">
        <v>36</v>
      </c>
      <c r="H76" s="10" t="s">
        <v>8</v>
      </c>
      <c r="I76" s="10" t="s">
        <v>8</v>
      </c>
      <c r="J76" s="11" t="s">
        <v>834</v>
      </c>
      <c r="K76" s="10" t="n">
        <v>6863</v>
      </c>
    </row>
    <row r="77" customFormat="false" ht="23.85" hidden="false" customHeight="false" outlineLevel="0" collapsed="false">
      <c r="A77" s="9" t="n">
        <v>45518</v>
      </c>
      <c r="B77" s="10" t="s">
        <v>391</v>
      </c>
      <c r="C77" s="10" t="s">
        <v>828</v>
      </c>
      <c r="D77" s="11" t="s">
        <v>969</v>
      </c>
      <c r="E77" s="10" t="s">
        <v>8</v>
      </c>
      <c r="F77" s="10" t="s">
        <v>970</v>
      </c>
      <c r="G77" s="10" t="s">
        <v>36</v>
      </c>
      <c r="H77" s="10" t="s">
        <v>8</v>
      </c>
      <c r="I77" s="10" t="s">
        <v>8</v>
      </c>
      <c r="J77" s="11" t="s">
        <v>971</v>
      </c>
      <c r="K77" s="10" t="n">
        <v>6867</v>
      </c>
    </row>
    <row r="78" customFormat="false" ht="23.85" hidden="false" customHeight="false" outlineLevel="0" collapsed="false">
      <c r="A78" s="9" t="n">
        <v>45518</v>
      </c>
      <c r="B78" s="10" t="s">
        <v>391</v>
      </c>
      <c r="C78" s="10" t="s">
        <v>828</v>
      </c>
      <c r="D78" s="11" t="s">
        <v>972</v>
      </c>
      <c r="E78" s="10" t="s">
        <v>8</v>
      </c>
      <c r="F78" s="10" t="s">
        <v>833</v>
      </c>
      <c r="G78" s="10" t="s">
        <v>36</v>
      </c>
      <c r="H78" s="10" t="s">
        <v>8</v>
      </c>
      <c r="I78" s="10" t="s">
        <v>8</v>
      </c>
      <c r="J78" s="11" t="s">
        <v>973</v>
      </c>
      <c r="K78" s="10" t="n">
        <v>6868</v>
      </c>
    </row>
    <row r="79" customFormat="false" ht="15" hidden="false" customHeight="false" outlineLevel="0" collapsed="false">
      <c r="A79" s="9" t="n">
        <v>45518</v>
      </c>
      <c r="B79" s="10" t="s">
        <v>394</v>
      </c>
      <c r="C79" s="10" t="s">
        <v>828</v>
      </c>
      <c r="D79" s="11" t="s">
        <v>974</v>
      </c>
      <c r="E79" s="10" t="s">
        <v>8</v>
      </c>
      <c r="F79" s="10" t="s">
        <v>975</v>
      </c>
      <c r="G79" s="10" t="s">
        <v>36</v>
      </c>
      <c r="H79" s="10" t="s">
        <v>831</v>
      </c>
      <c r="I79" s="10" t="s">
        <v>8</v>
      </c>
      <c r="J79" s="11" t="s">
        <v>976</v>
      </c>
      <c r="K79" s="10" t="n">
        <v>6869</v>
      </c>
    </row>
    <row r="80" customFormat="false" ht="15" hidden="false" customHeight="false" outlineLevel="0" collapsed="false">
      <c r="A80" s="9" t="n">
        <v>45518</v>
      </c>
      <c r="B80" s="10" t="s">
        <v>394</v>
      </c>
      <c r="C80" s="10" t="s">
        <v>828</v>
      </c>
      <c r="D80" s="11" t="s">
        <v>977</v>
      </c>
      <c r="E80" s="10" t="s">
        <v>8</v>
      </c>
      <c r="F80" s="10" t="s">
        <v>978</v>
      </c>
      <c r="G80" s="10" t="s">
        <v>36</v>
      </c>
      <c r="H80" s="10" t="s">
        <v>831</v>
      </c>
      <c r="I80" s="10" t="s">
        <v>8</v>
      </c>
      <c r="J80" s="11" t="s">
        <v>976</v>
      </c>
      <c r="K80" s="10" t="n">
        <v>6870</v>
      </c>
    </row>
    <row r="81" customFormat="false" ht="23.85" hidden="false" customHeight="false" outlineLevel="0" collapsed="false">
      <c r="A81" s="9" t="n">
        <v>45518</v>
      </c>
      <c r="B81" s="10" t="s">
        <v>397</v>
      </c>
      <c r="C81" s="10" t="s">
        <v>828</v>
      </c>
      <c r="D81" s="11" t="s">
        <v>979</v>
      </c>
      <c r="E81" s="10" t="s">
        <v>8</v>
      </c>
      <c r="F81" s="10" t="s">
        <v>980</v>
      </c>
      <c r="G81" s="10" t="s">
        <v>36</v>
      </c>
      <c r="H81" s="10" t="s">
        <v>831</v>
      </c>
      <c r="I81" s="10" t="s">
        <v>8</v>
      </c>
      <c r="J81" s="11" t="s">
        <v>981</v>
      </c>
      <c r="K81" s="10" t="n">
        <v>6873</v>
      </c>
    </row>
    <row r="82" customFormat="false" ht="23.85" hidden="false" customHeight="false" outlineLevel="0" collapsed="false">
      <c r="A82" s="9" t="n">
        <v>45518</v>
      </c>
      <c r="B82" s="10" t="s">
        <v>397</v>
      </c>
      <c r="C82" s="10" t="s">
        <v>828</v>
      </c>
      <c r="D82" s="11" t="s">
        <v>982</v>
      </c>
      <c r="E82" s="10" t="s">
        <v>8</v>
      </c>
      <c r="F82" s="10" t="s">
        <v>983</v>
      </c>
      <c r="G82" s="10" t="s">
        <v>36</v>
      </c>
      <c r="H82" s="10" t="s">
        <v>831</v>
      </c>
      <c r="I82" s="10" t="s">
        <v>8</v>
      </c>
      <c r="J82" s="11" t="s">
        <v>984</v>
      </c>
      <c r="K82" s="10" t="n">
        <v>6874</v>
      </c>
    </row>
    <row r="83" customFormat="false" ht="15" hidden="false" customHeight="false" outlineLevel="0" collapsed="false">
      <c r="A83" s="9" t="n">
        <v>45539</v>
      </c>
      <c r="B83" s="10" t="s">
        <v>400</v>
      </c>
      <c r="C83" s="10" t="s">
        <v>835</v>
      </c>
      <c r="D83" s="11" t="s">
        <v>985</v>
      </c>
      <c r="E83" s="10" t="s">
        <v>8</v>
      </c>
      <c r="F83" s="10" t="s">
        <v>986</v>
      </c>
      <c r="G83" s="10" t="s">
        <v>36</v>
      </c>
      <c r="H83" s="10" t="s">
        <v>9</v>
      </c>
      <c r="I83" s="10" t="s">
        <v>8</v>
      </c>
      <c r="J83" s="11" t="s">
        <v>838</v>
      </c>
      <c r="K83" s="10" t="n">
        <v>6875</v>
      </c>
    </row>
    <row r="84" customFormat="false" ht="15" hidden="false" customHeight="false" outlineLevel="0" collapsed="false">
      <c r="A84" s="9" t="n">
        <v>45608</v>
      </c>
      <c r="B84" s="10" t="s">
        <v>403</v>
      </c>
      <c r="C84" s="10" t="s">
        <v>835</v>
      </c>
      <c r="D84" s="11" t="s">
        <v>987</v>
      </c>
      <c r="E84" s="10" t="s">
        <v>8</v>
      </c>
      <c r="F84" s="10" t="s">
        <v>988</v>
      </c>
      <c r="G84" s="10" t="s">
        <v>36</v>
      </c>
      <c r="H84" s="10" t="s">
        <v>9</v>
      </c>
      <c r="I84" s="10" t="s">
        <v>8</v>
      </c>
      <c r="J84" s="11" t="s">
        <v>838</v>
      </c>
      <c r="K84" s="10" t="n">
        <v>6877</v>
      </c>
    </row>
    <row r="85" customFormat="false" ht="15" hidden="false" customHeight="false" outlineLevel="0" collapsed="false">
      <c r="A85" s="9" t="n">
        <v>45608</v>
      </c>
      <c r="B85" s="10" t="s">
        <v>405</v>
      </c>
      <c r="C85" s="10" t="s">
        <v>828</v>
      </c>
      <c r="D85" s="11" t="s">
        <v>989</v>
      </c>
      <c r="E85" s="10" t="s">
        <v>9</v>
      </c>
      <c r="F85" s="10" t="s">
        <v>990</v>
      </c>
      <c r="G85" s="10" t="s">
        <v>36</v>
      </c>
      <c r="H85" s="10" t="s">
        <v>8</v>
      </c>
      <c r="I85" s="10" t="s">
        <v>843</v>
      </c>
      <c r="J85" s="11" t="s">
        <v>838</v>
      </c>
      <c r="K85" s="10" t="n">
        <v>6878</v>
      </c>
    </row>
    <row r="86" customFormat="false" ht="15" hidden="false" customHeight="false" outlineLevel="0" collapsed="false">
      <c r="A86" s="9" t="n">
        <v>45614</v>
      </c>
      <c r="B86" s="10" t="s">
        <v>405</v>
      </c>
      <c r="C86" s="10" t="s">
        <v>835</v>
      </c>
      <c r="D86" s="11" t="s">
        <v>991</v>
      </c>
      <c r="E86" s="10" t="s">
        <v>9</v>
      </c>
      <c r="F86" s="10" t="s">
        <v>992</v>
      </c>
      <c r="G86" s="10" t="s">
        <v>108</v>
      </c>
      <c r="H86" s="10" t="s">
        <v>8</v>
      </c>
      <c r="I86" s="10" t="s">
        <v>9</v>
      </c>
      <c r="J86" s="11" t="s">
        <v>838</v>
      </c>
      <c r="K86" s="10" t="n">
        <v>6879</v>
      </c>
    </row>
    <row r="87" customFormat="false" ht="15" hidden="false" customHeight="false" outlineLevel="0" collapsed="false">
      <c r="A87" s="9" t="n">
        <v>45614</v>
      </c>
      <c r="B87" s="10" t="s">
        <v>405</v>
      </c>
      <c r="C87" s="10" t="s">
        <v>835</v>
      </c>
      <c r="D87" s="11" t="s">
        <v>993</v>
      </c>
      <c r="E87" s="10" t="s">
        <v>9</v>
      </c>
      <c r="F87" s="10" t="s">
        <v>948</v>
      </c>
      <c r="G87" s="10" t="s">
        <v>108</v>
      </c>
      <c r="H87" s="10" t="s">
        <v>8</v>
      </c>
      <c r="I87" s="10" t="s">
        <v>9</v>
      </c>
      <c r="J87" s="11" t="s">
        <v>838</v>
      </c>
      <c r="K87" s="10" t="n">
        <v>6880</v>
      </c>
    </row>
    <row r="88" customFormat="false" ht="15" hidden="false" customHeight="false" outlineLevel="0" collapsed="false">
      <c r="A88" s="9" t="n">
        <v>45614</v>
      </c>
      <c r="B88" s="10" t="s">
        <v>405</v>
      </c>
      <c r="C88" s="10" t="s">
        <v>835</v>
      </c>
      <c r="D88" s="11" t="s">
        <v>994</v>
      </c>
      <c r="E88" s="10" t="s">
        <v>8</v>
      </c>
      <c r="F88" s="10" t="s">
        <v>970</v>
      </c>
      <c r="G88" s="10" t="s">
        <v>36</v>
      </c>
      <c r="H88" s="10" t="s">
        <v>8</v>
      </c>
      <c r="I88" s="10" t="s">
        <v>8</v>
      </c>
      <c r="J88" s="11" t="s">
        <v>834</v>
      </c>
      <c r="K88" s="10" t="n">
        <v>6881</v>
      </c>
    </row>
    <row r="89" customFormat="false" ht="15" hidden="false" customHeight="false" outlineLevel="0" collapsed="false">
      <c r="A89" s="9" t="n">
        <v>45623</v>
      </c>
      <c r="B89" s="10" t="s">
        <v>410</v>
      </c>
      <c r="C89" s="10" t="s">
        <v>828</v>
      </c>
      <c r="D89" s="11" t="s">
        <v>995</v>
      </c>
      <c r="E89" s="10" t="s">
        <v>8</v>
      </c>
      <c r="F89" s="10" t="s">
        <v>845</v>
      </c>
      <c r="G89" s="10" t="s">
        <v>36</v>
      </c>
      <c r="H89" s="10" t="s">
        <v>8</v>
      </c>
      <c r="I89" s="10" t="s">
        <v>8</v>
      </c>
      <c r="J89" s="11" t="s">
        <v>834</v>
      </c>
      <c r="K89" s="10" t="n">
        <v>6882</v>
      </c>
    </row>
    <row r="90" customFormat="false" ht="15" hidden="false" customHeight="false" outlineLevel="0" collapsed="false">
      <c r="A90" s="9" t="n">
        <v>45638</v>
      </c>
      <c r="B90" s="10" t="s">
        <v>442</v>
      </c>
      <c r="C90" s="10" t="s">
        <v>835</v>
      </c>
      <c r="D90" s="11" t="s">
        <v>996</v>
      </c>
      <c r="E90" s="10" t="s">
        <v>8</v>
      </c>
      <c r="F90" s="10" t="s">
        <v>997</v>
      </c>
      <c r="G90" s="10" t="s">
        <v>36</v>
      </c>
      <c r="H90" s="10" t="s">
        <v>9</v>
      </c>
      <c r="I90" s="10" t="s">
        <v>8</v>
      </c>
      <c r="J90" s="11" t="s">
        <v>838</v>
      </c>
      <c r="K90" s="10" t="n">
        <v>6898</v>
      </c>
    </row>
    <row r="91" customFormat="false" ht="15" hidden="false" customHeight="false" outlineLevel="0" collapsed="false">
      <c r="A91" s="9" t="n">
        <v>45638</v>
      </c>
      <c r="B91" s="10" t="s">
        <v>444</v>
      </c>
      <c r="C91" s="10" t="s">
        <v>828</v>
      </c>
      <c r="D91" s="11" t="s">
        <v>998</v>
      </c>
      <c r="E91" s="10" t="s">
        <v>9</v>
      </c>
      <c r="F91" s="10" t="s">
        <v>999</v>
      </c>
      <c r="G91" s="10" t="s">
        <v>36</v>
      </c>
      <c r="H91" s="10" t="s">
        <v>8</v>
      </c>
      <c r="I91" s="10" t="s">
        <v>9</v>
      </c>
      <c r="J91" s="11" t="s">
        <v>838</v>
      </c>
      <c r="K91" s="10" t="n">
        <v>6899</v>
      </c>
    </row>
    <row r="92" customFormat="false" ht="15" hidden="false" customHeight="false" outlineLevel="0" collapsed="false">
      <c r="A92" s="9" t="n">
        <v>45638</v>
      </c>
      <c r="B92" s="10" t="s">
        <v>444</v>
      </c>
      <c r="C92" s="10" t="s">
        <v>835</v>
      </c>
      <c r="D92" s="11" t="s">
        <v>1000</v>
      </c>
      <c r="E92" s="10" t="s">
        <v>9</v>
      </c>
      <c r="F92" s="10" t="s">
        <v>1001</v>
      </c>
      <c r="G92" s="10" t="s">
        <v>108</v>
      </c>
      <c r="H92" s="10" t="s">
        <v>8</v>
      </c>
      <c r="I92" s="10" t="s">
        <v>9</v>
      </c>
      <c r="J92" s="11" t="s">
        <v>838</v>
      </c>
      <c r="K92" s="10" t="n">
        <v>6900</v>
      </c>
    </row>
    <row r="93" customFormat="false" ht="15" hidden="false" customHeight="false" outlineLevel="0" collapsed="false">
      <c r="A93" s="9" t="n">
        <v>45638</v>
      </c>
      <c r="B93" s="10" t="s">
        <v>444</v>
      </c>
      <c r="C93" s="10" t="s">
        <v>835</v>
      </c>
      <c r="D93" s="11" t="s">
        <v>1000</v>
      </c>
      <c r="E93" s="10" t="s">
        <v>8</v>
      </c>
      <c r="F93" s="10" t="s">
        <v>1002</v>
      </c>
      <c r="G93" s="10" t="s">
        <v>108</v>
      </c>
      <c r="H93" s="10" t="s">
        <v>9</v>
      </c>
      <c r="I93" s="10" t="s">
        <v>8</v>
      </c>
      <c r="J93" s="11" t="s">
        <v>838</v>
      </c>
      <c r="K93" s="10" t="n">
        <v>6901</v>
      </c>
    </row>
    <row r="94" customFormat="false" ht="15" hidden="false" customHeight="false" outlineLevel="0" collapsed="false">
      <c r="A94" s="9" t="n">
        <v>45638</v>
      </c>
      <c r="B94" s="10" t="s">
        <v>444</v>
      </c>
      <c r="C94" s="10" t="s">
        <v>835</v>
      </c>
      <c r="D94" s="11" t="s">
        <v>1000</v>
      </c>
      <c r="E94" s="10" t="s">
        <v>8</v>
      </c>
      <c r="F94" s="10" t="s">
        <v>1003</v>
      </c>
      <c r="G94" s="10" t="s">
        <v>108</v>
      </c>
      <c r="H94" s="10" t="s">
        <v>9</v>
      </c>
      <c r="I94" s="10" t="s">
        <v>8</v>
      </c>
      <c r="J94" s="11" t="s">
        <v>838</v>
      </c>
      <c r="K94" s="10" t="n">
        <v>6902</v>
      </c>
    </row>
    <row r="95" customFormat="false" ht="23.85" hidden="false" customHeight="false" outlineLevel="0" collapsed="false">
      <c r="A95" s="9" t="n">
        <v>45643</v>
      </c>
      <c r="B95" s="10" t="s">
        <v>449</v>
      </c>
      <c r="C95" s="10" t="s">
        <v>828</v>
      </c>
      <c r="D95" s="11" t="s">
        <v>1004</v>
      </c>
      <c r="E95" s="10" t="s">
        <v>8</v>
      </c>
      <c r="F95" s="10" t="s">
        <v>1005</v>
      </c>
      <c r="G95" s="10" t="s">
        <v>36</v>
      </c>
      <c r="H95" s="10" t="s">
        <v>831</v>
      </c>
      <c r="I95" s="10" t="s">
        <v>831</v>
      </c>
      <c r="J95" s="11" t="s">
        <v>971</v>
      </c>
      <c r="K95" s="10" t="n">
        <v>6903</v>
      </c>
    </row>
    <row r="96" customFormat="false" ht="23.85" hidden="false" customHeight="false" outlineLevel="0" collapsed="false">
      <c r="A96" s="9" t="n">
        <v>45643</v>
      </c>
      <c r="B96" s="10" t="s">
        <v>449</v>
      </c>
      <c r="C96" s="10" t="s">
        <v>828</v>
      </c>
      <c r="D96" s="11" t="s">
        <v>1006</v>
      </c>
      <c r="E96" s="10" t="s">
        <v>8</v>
      </c>
      <c r="F96" s="10" t="s">
        <v>873</v>
      </c>
      <c r="G96" s="10" t="s">
        <v>36</v>
      </c>
      <c r="H96" s="10" t="s">
        <v>831</v>
      </c>
      <c r="I96" s="10" t="s">
        <v>8</v>
      </c>
      <c r="J96" s="11" t="s">
        <v>874</v>
      </c>
      <c r="K96" s="10" t="n">
        <v>6904</v>
      </c>
    </row>
    <row r="97" customFormat="false" ht="15" hidden="false" customHeight="false" outlineLevel="0" collapsed="false">
      <c r="A97" s="9" t="n">
        <v>45643</v>
      </c>
      <c r="B97" s="10" t="s">
        <v>452</v>
      </c>
      <c r="C97" s="10" t="s">
        <v>828</v>
      </c>
      <c r="D97" s="11" t="s">
        <v>1007</v>
      </c>
      <c r="E97" s="10" t="s">
        <v>8</v>
      </c>
      <c r="F97" s="10" t="s">
        <v>1008</v>
      </c>
      <c r="G97" s="10" t="s">
        <v>36</v>
      </c>
      <c r="H97" s="10" t="s">
        <v>8</v>
      </c>
      <c r="I97" s="10" t="s">
        <v>8</v>
      </c>
      <c r="J97" s="11" t="s">
        <v>834</v>
      </c>
      <c r="K97" s="10" t="n">
        <v>6905</v>
      </c>
    </row>
    <row r="98" customFormat="false" ht="15" hidden="false" customHeight="false" outlineLevel="0" collapsed="false">
      <c r="A98" s="9" t="n">
        <v>45643</v>
      </c>
      <c r="B98" s="10" t="s">
        <v>454</v>
      </c>
      <c r="C98" s="10" t="s">
        <v>828</v>
      </c>
      <c r="D98" s="11" t="s">
        <v>1009</v>
      </c>
      <c r="E98" s="10" t="s">
        <v>8</v>
      </c>
      <c r="F98" s="10" t="s">
        <v>935</v>
      </c>
      <c r="G98" s="10" t="s">
        <v>36</v>
      </c>
      <c r="H98" s="10" t="s">
        <v>8</v>
      </c>
      <c r="I98" s="10" t="s">
        <v>8</v>
      </c>
      <c r="J98" s="11" t="s">
        <v>834</v>
      </c>
      <c r="K98" s="10" t="n">
        <v>6906</v>
      </c>
    </row>
    <row r="99" customFormat="false" ht="15" hidden="false" customHeight="false" outlineLevel="0" collapsed="false">
      <c r="A99" s="9" t="n">
        <v>45644</v>
      </c>
      <c r="B99" s="10" t="s">
        <v>456</v>
      </c>
      <c r="C99" s="10" t="s">
        <v>828</v>
      </c>
      <c r="D99" s="11" t="s">
        <v>1010</v>
      </c>
      <c r="E99" s="10" t="s">
        <v>8</v>
      </c>
      <c r="F99" s="10" t="s">
        <v>1011</v>
      </c>
      <c r="G99" s="10" t="s">
        <v>36</v>
      </c>
      <c r="H99" s="10" t="s">
        <v>8</v>
      </c>
      <c r="I99" s="10" t="s">
        <v>8</v>
      </c>
      <c r="J99" s="11" t="s">
        <v>834</v>
      </c>
      <c r="K99" s="10" t="n">
        <v>6907</v>
      </c>
    </row>
    <row r="100" customFormat="false" ht="15" hidden="false" customHeight="false" outlineLevel="0" collapsed="false">
      <c r="A100" s="9" t="n">
        <v>45644</v>
      </c>
      <c r="B100" s="10" t="s">
        <v>458</v>
      </c>
      <c r="C100" s="10" t="s">
        <v>828</v>
      </c>
      <c r="D100" s="11" t="s">
        <v>1012</v>
      </c>
      <c r="E100" s="10" t="s">
        <v>8</v>
      </c>
      <c r="F100" s="10" t="s">
        <v>871</v>
      </c>
      <c r="G100" s="10" t="s">
        <v>36</v>
      </c>
      <c r="H100" s="10" t="s">
        <v>8</v>
      </c>
      <c r="I100" s="10" t="s">
        <v>8</v>
      </c>
      <c r="J100" s="11" t="s">
        <v>834</v>
      </c>
      <c r="K100" s="10" t="n">
        <v>6908</v>
      </c>
    </row>
    <row r="101" customFormat="false" ht="15" hidden="false" customHeight="false" outlineLevel="0" collapsed="false">
      <c r="A101" s="9" t="n">
        <v>45644</v>
      </c>
      <c r="B101" s="10" t="s">
        <v>460</v>
      </c>
      <c r="C101" s="10" t="s">
        <v>835</v>
      </c>
      <c r="D101" s="11" t="s">
        <v>1013</v>
      </c>
      <c r="E101" s="10" t="s">
        <v>12</v>
      </c>
      <c r="F101" s="10" t="s">
        <v>1014</v>
      </c>
      <c r="G101" s="10" t="s">
        <v>108</v>
      </c>
      <c r="H101" s="10" t="s">
        <v>9</v>
      </c>
      <c r="I101" s="10" t="s">
        <v>8</v>
      </c>
      <c r="J101" s="11" t="s">
        <v>854</v>
      </c>
      <c r="K101" s="10" t="n">
        <v>6909</v>
      </c>
    </row>
    <row r="102" customFormat="false" ht="15" hidden="false" customHeight="false" outlineLevel="0" collapsed="false">
      <c r="A102" s="9" t="n">
        <v>45645</v>
      </c>
      <c r="B102" s="10" t="s">
        <v>462</v>
      </c>
      <c r="C102" s="10" t="s">
        <v>828</v>
      </c>
      <c r="D102" s="11" t="s">
        <v>1015</v>
      </c>
      <c r="E102" s="10" t="s">
        <v>8</v>
      </c>
      <c r="F102" s="10" t="s">
        <v>1016</v>
      </c>
      <c r="G102" s="10" t="s">
        <v>36</v>
      </c>
      <c r="H102" s="10" t="s">
        <v>8</v>
      </c>
      <c r="I102" s="10" t="s">
        <v>8</v>
      </c>
      <c r="J102" s="11" t="s">
        <v>834</v>
      </c>
      <c r="K102" s="10" t="n">
        <v>6910</v>
      </c>
    </row>
    <row r="103" customFormat="false" ht="15" hidden="false" customHeight="false" outlineLevel="0" collapsed="false">
      <c r="A103" s="9" t="n">
        <v>45645</v>
      </c>
      <c r="B103" s="10" t="s">
        <v>462</v>
      </c>
      <c r="C103" s="10" t="s">
        <v>835</v>
      </c>
      <c r="D103" s="11" t="s">
        <v>1017</v>
      </c>
      <c r="E103" s="10" t="s">
        <v>8</v>
      </c>
      <c r="F103" s="10" t="s">
        <v>1018</v>
      </c>
      <c r="G103" s="10" t="s">
        <v>108</v>
      </c>
      <c r="H103" s="10" t="s">
        <v>9</v>
      </c>
      <c r="I103" s="10" t="s">
        <v>8</v>
      </c>
      <c r="J103" s="11" t="s">
        <v>838</v>
      </c>
      <c r="K103" s="10" t="n">
        <v>6911</v>
      </c>
    </row>
    <row r="104" customFormat="false" ht="15" hidden="false" customHeight="false" outlineLevel="0" collapsed="false">
      <c r="A104" s="9" t="n">
        <v>45645</v>
      </c>
      <c r="B104" s="10" t="s">
        <v>462</v>
      </c>
      <c r="C104" s="10" t="s">
        <v>835</v>
      </c>
      <c r="D104" s="11" t="s">
        <v>1017</v>
      </c>
      <c r="E104" s="10" t="s">
        <v>8</v>
      </c>
      <c r="F104" s="10" t="s">
        <v>888</v>
      </c>
      <c r="G104" s="10" t="s">
        <v>108</v>
      </c>
      <c r="H104" s="10" t="s">
        <v>9</v>
      </c>
      <c r="I104" s="10" t="s">
        <v>8</v>
      </c>
      <c r="J104" s="11" t="s">
        <v>838</v>
      </c>
      <c r="K104" s="10" t="n">
        <v>6912</v>
      </c>
    </row>
    <row r="105" customFormat="false" ht="15" hidden="false" customHeight="false" outlineLevel="0" collapsed="false">
      <c r="A105" s="9" t="n">
        <v>45645</v>
      </c>
      <c r="B105" s="10" t="s">
        <v>462</v>
      </c>
      <c r="C105" s="10" t="s">
        <v>835</v>
      </c>
      <c r="D105" s="11" t="s">
        <v>1017</v>
      </c>
      <c r="E105" s="10" t="s">
        <v>8</v>
      </c>
      <c r="F105" s="10" t="s">
        <v>1019</v>
      </c>
      <c r="G105" s="10" t="s">
        <v>108</v>
      </c>
      <c r="H105" s="10" t="s">
        <v>9</v>
      </c>
      <c r="I105" s="10" t="s">
        <v>8</v>
      </c>
      <c r="J105" s="11" t="s">
        <v>838</v>
      </c>
      <c r="K105" s="10" t="n">
        <v>6913</v>
      </c>
    </row>
    <row r="106" customFormat="false" ht="23.85" hidden="false" customHeight="false" outlineLevel="0" collapsed="false">
      <c r="A106" s="9" t="n">
        <v>45645</v>
      </c>
      <c r="B106" s="10" t="s">
        <v>467</v>
      </c>
      <c r="C106" s="10" t="s">
        <v>828</v>
      </c>
      <c r="D106" s="11" t="s">
        <v>1020</v>
      </c>
      <c r="E106" s="10" t="s">
        <v>9</v>
      </c>
      <c r="F106" s="10" t="s">
        <v>1021</v>
      </c>
      <c r="G106" s="10" t="s">
        <v>36</v>
      </c>
      <c r="H106" s="10" t="s">
        <v>8</v>
      </c>
      <c r="I106" s="10" t="s">
        <v>9</v>
      </c>
      <c r="J106" s="11" t="s">
        <v>897</v>
      </c>
      <c r="K106" s="10" t="n">
        <v>6914</v>
      </c>
    </row>
    <row r="107" customFormat="false" ht="23.85" hidden="false" customHeight="false" outlineLevel="0" collapsed="false">
      <c r="A107" s="9" t="n">
        <v>45645</v>
      </c>
      <c r="B107" s="10" t="s">
        <v>467</v>
      </c>
      <c r="C107" s="10" t="s">
        <v>835</v>
      </c>
      <c r="D107" s="11" t="s">
        <v>1022</v>
      </c>
      <c r="E107" s="10" t="s">
        <v>8</v>
      </c>
      <c r="F107" s="10" t="s">
        <v>1023</v>
      </c>
      <c r="G107" s="10" t="s">
        <v>108</v>
      </c>
      <c r="H107" s="10" t="s">
        <v>9</v>
      </c>
      <c r="I107" s="10" t="s">
        <v>8</v>
      </c>
      <c r="J107" s="11" t="s">
        <v>838</v>
      </c>
      <c r="K107" s="10" t="n">
        <v>6915</v>
      </c>
    </row>
    <row r="108" customFormat="false" ht="23.85" hidden="false" customHeight="false" outlineLevel="0" collapsed="false">
      <c r="A108" s="9" t="n">
        <v>45645</v>
      </c>
      <c r="B108" s="10" t="s">
        <v>467</v>
      </c>
      <c r="C108" s="10" t="s">
        <v>828</v>
      </c>
      <c r="D108" s="11" t="s">
        <v>1024</v>
      </c>
      <c r="E108" s="10" t="s">
        <v>9</v>
      </c>
      <c r="F108" s="10" t="s">
        <v>1025</v>
      </c>
      <c r="G108" s="10" t="s">
        <v>36</v>
      </c>
      <c r="H108" s="10" t="s">
        <v>8</v>
      </c>
      <c r="I108" s="10" t="s">
        <v>9</v>
      </c>
      <c r="J108" s="11" t="s">
        <v>1026</v>
      </c>
      <c r="K108" s="10" t="n">
        <v>6916</v>
      </c>
    </row>
    <row r="109" customFormat="false" ht="15" hidden="false" customHeight="false" outlineLevel="0" collapsed="false">
      <c r="A109" s="9" t="n">
        <v>45645</v>
      </c>
      <c r="B109" s="10" t="s">
        <v>471</v>
      </c>
      <c r="C109" s="10" t="s">
        <v>828</v>
      </c>
      <c r="D109" s="11" t="s">
        <v>1027</v>
      </c>
      <c r="E109" s="10" t="s">
        <v>9</v>
      </c>
      <c r="F109" s="10" t="s">
        <v>1028</v>
      </c>
      <c r="G109" s="10" t="s">
        <v>36</v>
      </c>
      <c r="H109" s="10" t="s">
        <v>8</v>
      </c>
      <c r="I109" s="10" t="s">
        <v>843</v>
      </c>
      <c r="J109" s="11" t="s">
        <v>838</v>
      </c>
      <c r="K109" s="10" t="n">
        <v>6917</v>
      </c>
    </row>
    <row r="110" customFormat="false" ht="15" hidden="false" customHeight="false" outlineLevel="0" collapsed="false">
      <c r="A110" s="9" t="n">
        <v>45707</v>
      </c>
      <c r="B110" s="10" t="s">
        <v>473</v>
      </c>
      <c r="C110" s="10" t="s">
        <v>828</v>
      </c>
      <c r="D110" s="11" t="s">
        <v>1029</v>
      </c>
      <c r="E110" s="10" t="s">
        <v>8</v>
      </c>
      <c r="F110" s="10" t="s">
        <v>850</v>
      </c>
      <c r="G110" s="10" t="s">
        <v>36</v>
      </c>
      <c r="H110" s="10" t="s">
        <v>8</v>
      </c>
      <c r="I110" s="10" t="s">
        <v>8</v>
      </c>
      <c r="J110" s="11" t="s">
        <v>834</v>
      </c>
      <c r="K110" s="10" t="n">
        <v>6918</v>
      </c>
    </row>
    <row r="111" customFormat="false" ht="15" hidden="false" customHeight="false" outlineLevel="0" collapsed="false">
      <c r="A111" s="9" t="n">
        <v>45727</v>
      </c>
      <c r="B111" s="10" t="s">
        <v>475</v>
      </c>
      <c r="C111" s="10" t="s">
        <v>828</v>
      </c>
      <c r="D111" s="11" t="s">
        <v>1030</v>
      </c>
      <c r="E111" s="10" t="s">
        <v>13</v>
      </c>
      <c r="F111" s="10" t="s">
        <v>1008</v>
      </c>
      <c r="G111" s="10" t="s">
        <v>36</v>
      </c>
      <c r="H111" s="10" t="s">
        <v>8</v>
      </c>
      <c r="I111" s="10" t="s">
        <v>8</v>
      </c>
      <c r="J111" s="11" t="s">
        <v>1031</v>
      </c>
      <c r="K111" s="10" t="n">
        <v>6919</v>
      </c>
    </row>
    <row r="112" customFormat="false" ht="15" hidden="false" customHeight="false" outlineLevel="0" collapsed="false">
      <c r="A112" s="9" t="n">
        <v>45727</v>
      </c>
      <c r="B112" s="10" t="s">
        <v>475</v>
      </c>
      <c r="C112" s="10" t="s">
        <v>828</v>
      </c>
      <c r="D112" s="11" t="s">
        <v>1032</v>
      </c>
      <c r="E112" s="10" t="s">
        <v>13</v>
      </c>
      <c r="F112" s="10" t="s">
        <v>871</v>
      </c>
      <c r="G112" s="10" t="s">
        <v>36</v>
      </c>
      <c r="H112" s="10" t="s">
        <v>8</v>
      </c>
      <c r="I112" s="10" t="s">
        <v>8</v>
      </c>
      <c r="J112" s="11" t="s">
        <v>1033</v>
      </c>
      <c r="K112" s="10" t="n">
        <v>6920</v>
      </c>
    </row>
    <row r="113" customFormat="false" ht="15" hidden="false" customHeight="false" outlineLevel="0" collapsed="false">
      <c r="A113" s="9" t="n">
        <v>45734</v>
      </c>
      <c r="B113" s="10" t="s">
        <v>478</v>
      </c>
      <c r="C113" s="10" t="s">
        <v>875</v>
      </c>
      <c r="D113" s="11" t="s">
        <v>1034</v>
      </c>
      <c r="E113" s="10" t="s">
        <v>8</v>
      </c>
      <c r="F113" s="10" t="s">
        <v>1035</v>
      </c>
      <c r="G113" s="10" t="s">
        <v>108</v>
      </c>
      <c r="H113" s="10" t="s">
        <v>831</v>
      </c>
      <c r="I113" s="10" t="s">
        <v>8</v>
      </c>
      <c r="J113" s="11"/>
      <c r="K113" s="10" t="n">
        <v>6921</v>
      </c>
    </row>
    <row r="114" customFormat="false" ht="15" hidden="false" customHeight="false" outlineLevel="0" collapsed="false">
      <c r="A114" s="9" t="n">
        <v>45735</v>
      </c>
      <c r="B114" s="10" t="s">
        <v>480</v>
      </c>
      <c r="C114" s="10" t="s">
        <v>828</v>
      </c>
      <c r="D114" s="11" t="s">
        <v>1036</v>
      </c>
      <c r="E114" s="10" t="s">
        <v>8</v>
      </c>
      <c r="F114" s="10" t="s">
        <v>1037</v>
      </c>
      <c r="G114" s="10" t="s">
        <v>36</v>
      </c>
      <c r="H114" s="10" t="s">
        <v>8</v>
      </c>
      <c r="I114" s="10" t="s">
        <v>8</v>
      </c>
      <c r="J114" s="11" t="s">
        <v>834</v>
      </c>
      <c r="K114" s="10" t="n">
        <v>6922</v>
      </c>
    </row>
    <row r="115" customFormat="false" ht="15" hidden="false" customHeight="false" outlineLevel="0" collapsed="false">
      <c r="A115" s="9" t="n">
        <v>45748</v>
      </c>
      <c r="B115" s="10" t="s">
        <v>482</v>
      </c>
      <c r="C115" s="10" t="s">
        <v>828</v>
      </c>
      <c r="D115" s="11" t="s">
        <v>1038</v>
      </c>
      <c r="E115" s="10" t="s">
        <v>12</v>
      </c>
      <c r="F115" s="10" t="s">
        <v>1039</v>
      </c>
      <c r="G115" s="10" t="s">
        <v>36</v>
      </c>
      <c r="H115" s="10" t="s">
        <v>8</v>
      </c>
      <c r="I115" s="10" t="s">
        <v>8</v>
      </c>
      <c r="J115" s="11" t="s">
        <v>854</v>
      </c>
      <c r="K115" s="10" t="n">
        <v>6923</v>
      </c>
    </row>
    <row r="116" customFormat="false" ht="23.85" hidden="false" customHeight="false" outlineLevel="0" collapsed="false">
      <c r="A116" s="9" t="n">
        <v>45748</v>
      </c>
      <c r="B116" s="10" t="s">
        <v>484</v>
      </c>
      <c r="C116" s="10" t="s">
        <v>828</v>
      </c>
      <c r="D116" s="11" t="s">
        <v>1040</v>
      </c>
      <c r="E116" s="10" t="s">
        <v>8</v>
      </c>
      <c r="F116" s="10" t="s">
        <v>871</v>
      </c>
      <c r="G116" s="10" t="s">
        <v>36</v>
      </c>
      <c r="H116" s="10" t="s">
        <v>8</v>
      </c>
      <c r="I116" s="10" t="s">
        <v>8</v>
      </c>
      <c r="J116" s="11" t="s">
        <v>834</v>
      </c>
      <c r="K116" s="10" t="n">
        <v>6924</v>
      </c>
    </row>
    <row r="117" customFormat="false" ht="23.85" hidden="false" customHeight="false" outlineLevel="0" collapsed="false">
      <c r="A117" s="9" t="n">
        <v>45755</v>
      </c>
      <c r="B117" s="10" t="s">
        <v>486</v>
      </c>
      <c r="C117" s="10" t="s">
        <v>828</v>
      </c>
      <c r="D117" s="11" t="s">
        <v>1041</v>
      </c>
      <c r="E117" s="10" t="s">
        <v>8</v>
      </c>
      <c r="F117" s="10" t="s">
        <v>970</v>
      </c>
      <c r="G117" s="10" t="s">
        <v>36</v>
      </c>
      <c r="H117" s="10" t="s">
        <v>8</v>
      </c>
      <c r="I117" s="10" t="s">
        <v>8</v>
      </c>
      <c r="J117" s="11" t="s">
        <v>971</v>
      </c>
      <c r="K117" s="10" t="n">
        <v>6925</v>
      </c>
    </row>
    <row r="118" customFormat="false" ht="15" hidden="false" customHeight="false" outlineLevel="0" collapsed="false">
      <c r="A118" s="9" t="n">
        <v>45755</v>
      </c>
      <c r="B118" s="10" t="s">
        <v>486</v>
      </c>
      <c r="C118" s="10" t="s">
        <v>828</v>
      </c>
      <c r="D118" s="11" t="s">
        <v>1042</v>
      </c>
      <c r="E118" s="10" t="s">
        <v>8</v>
      </c>
      <c r="F118" s="10" t="s">
        <v>830</v>
      </c>
      <c r="G118" s="10" t="s">
        <v>36</v>
      </c>
      <c r="H118" s="10" t="s">
        <v>8</v>
      </c>
      <c r="I118" s="10" t="s">
        <v>8</v>
      </c>
      <c r="J118" s="11" t="s">
        <v>1043</v>
      </c>
      <c r="K118" s="10" t="n">
        <v>6926</v>
      </c>
    </row>
    <row r="119" customFormat="false" ht="15" hidden="false" customHeight="false" outlineLevel="0" collapsed="false">
      <c r="A119" s="9" t="n">
        <v>45776</v>
      </c>
      <c r="B119" s="10" t="s">
        <v>489</v>
      </c>
      <c r="C119" s="10" t="s">
        <v>828</v>
      </c>
      <c r="D119" s="11" t="s">
        <v>1044</v>
      </c>
      <c r="E119" s="10" t="s">
        <v>8</v>
      </c>
      <c r="F119" s="10" t="s">
        <v>1045</v>
      </c>
      <c r="G119" s="10" t="s">
        <v>36</v>
      </c>
      <c r="H119" s="10" t="s">
        <v>8</v>
      </c>
      <c r="I119" s="10" t="s">
        <v>8</v>
      </c>
      <c r="J119" s="11"/>
      <c r="K119" s="10" t="n">
        <v>6927</v>
      </c>
    </row>
    <row r="120" customFormat="false" ht="15" hidden="false" customHeight="false" outlineLevel="0" collapsed="false">
      <c r="A120" s="9" t="n">
        <v>45797</v>
      </c>
      <c r="B120" s="10" t="s">
        <v>491</v>
      </c>
      <c r="C120" s="10" t="s">
        <v>828</v>
      </c>
      <c r="D120" s="11" t="s">
        <v>1046</v>
      </c>
      <c r="E120" s="10" t="s">
        <v>15</v>
      </c>
      <c r="F120" s="10" t="s">
        <v>942</v>
      </c>
      <c r="G120" s="10" t="s">
        <v>36</v>
      </c>
      <c r="H120" s="10" t="s">
        <v>8</v>
      </c>
      <c r="I120" s="10" t="s">
        <v>8</v>
      </c>
      <c r="J120" s="11" t="s">
        <v>1047</v>
      </c>
      <c r="K120" s="10" t="n">
        <v>6928</v>
      </c>
    </row>
    <row r="121" customFormat="false" ht="15" hidden="false" customHeight="false" outlineLevel="0" collapsed="false">
      <c r="A121" s="9" t="n">
        <v>45797</v>
      </c>
      <c r="B121" s="10" t="s">
        <v>491</v>
      </c>
      <c r="C121" s="10" t="s">
        <v>828</v>
      </c>
      <c r="D121" s="11" t="s">
        <v>1048</v>
      </c>
      <c r="E121" s="10" t="s">
        <v>15</v>
      </c>
      <c r="F121" s="10" t="s">
        <v>1049</v>
      </c>
      <c r="G121" s="10" t="s">
        <v>36</v>
      </c>
      <c r="H121" s="10" t="s">
        <v>8</v>
      </c>
      <c r="I121" s="10" t="s">
        <v>8</v>
      </c>
      <c r="J121" s="11" t="s">
        <v>1050</v>
      </c>
      <c r="K121" s="10" t="n">
        <v>6929</v>
      </c>
    </row>
    <row r="122" customFormat="false" ht="15" hidden="false" customHeight="false" outlineLevel="0" collapsed="false">
      <c r="A122" s="9" t="n">
        <v>45798</v>
      </c>
      <c r="B122" s="10" t="s">
        <v>504</v>
      </c>
      <c r="C122" s="10" t="s">
        <v>828</v>
      </c>
      <c r="D122" s="11" t="s">
        <v>1051</v>
      </c>
      <c r="E122" s="10" t="s">
        <v>8</v>
      </c>
      <c r="F122" s="10" t="s">
        <v>1052</v>
      </c>
      <c r="G122" s="10" t="s">
        <v>36</v>
      </c>
      <c r="H122" s="10" t="s">
        <v>843</v>
      </c>
      <c r="I122" s="10" t="s">
        <v>8</v>
      </c>
      <c r="J122" s="11"/>
      <c r="K122" s="10" t="n">
        <v>6935</v>
      </c>
    </row>
    <row r="123" customFormat="false" ht="15" hidden="false" customHeight="false" outlineLevel="0" collapsed="false">
      <c r="A123" s="9" t="n">
        <v>45804</v>
      </c>
      <c r="B123" s="10" t="s">
        <v>506</v>
      </c>
      <c r="C123" s="10" t="s">
        <v>828</v>
      </c>
      <c r="D123" s="11" t="s">
        <v>1053</v>
      </c>
      <c r="E123" s="10" t="s">
        <v>14</v>
      </c>
      <c r="F123" s="10" t="s">
        <v>864</v>
      </c>
      <c r="G123" s="10" t="s">
        <v>36</v>
      </c>
      <c r="H123" s="10" t="s">
        <v>8</v>
      </c>
      <c r="I123" s="10" t="s">
        <v>8</v>
      </c>
      <c r="J123" s="11" t="s">
        <v>1054</v>
      </c>
      <c r="K123" s="10" t="n">
        <v>6936</v>
      </c>
    </row>
    <row r="124" customFormat="false" ht="15" hidden="false" customHeight="false" outlineLevel="0" collapsed="false">
      <c r="A124" s="9" t="n">
        <v>45804</v>
      </c>
      <c r="B124" s="10" t="s">
        <v>506</v>
      </c>
      <c r="C124" s="10" t="s">
        <v>835</v>
      </c>
      <c r="D124" s="11" t="s">
        <v>1055</v>
      </c>
      <c r="E124" s="10" t="s">
        <v>14</v>
      </c>
      <c r="F124" s="10" t="s">
        <v>1014</v>
      </c>
      <c r="G124" s="10" t="s">
        <v>108</v>
      </c>
      <c r="H124" s="10" t="s">
        <v>831</v>
      </c>
      <c r="I124" s="10" t="s">
        <v>843</v>
      </c>
      <c r="J124" s="11" t="s">
        <v>878</v>
      </c>
      <c r="K124" s="10" t="n">
        <v>6937</v>
      </c>
    </row>
    <row r="125" customFormat="false" ht="15" hidden="false" customHeight="false" outlineLevel="0" collapsed="false">
      <c r="A125" s="9" t="n">
        <v>45804</v>
      </c>
      <c r="B125" s="10" t="s">
        <v>506</v>
      </c>
      <c r="C125" s="10" t="s">
        <v>828</v>
      </c>
      <c r="D125" s="11" t="s">
        <v>1056</v>
      </c>
      <c r="E125" s="10" t="s">
        <v>14</v>
      </c>
      <c r="F125" s="10" t="s">
        <v>942</v>
      </c>
      <c r="G125" s="10" t="s">
        <v>36</v>
      </c>
      <c r="H125" s="10" t="s">
        <v>8</v>
      </c>
      <c r="I125" s="10" t="s">
        <v>8</v>
      </c>
      <c r="J125" s="11" t="s">
        <v>1047</v>
      </c>
      <c r="K125" s="10" t="n">
        <v>6938</v>
      </c>
    </row>
    <row r="126" customFormat="false" ht="15" hidden="false" customHeight="false" outlineLevel="0" collapsed="false">
      <c r="A126" s="9" t="n">
        <v>45804</v>
      </c>
      <c r="B126" s="10" t="s">
        <v>510</v>
      </c>
      <c r="C126" s="10" t="s">
        <v>828</v>
      </c>
      <c r="D126" s="11" t="s">
        <v>1057</v>
      </c>
      <c r="E126" s="10" t="s">
        <v>14</v>
      </c>
      <c r="F126" s="10" t="s">
        <v>1058</v>
      </c>
      <c r="G126" s="10" t="s">
        <v>36</v>
      </c>
      <c r="H126" s="10" t="s">
        <v>831</v>
      </c>
      <c r="I126" s="10" t="s">
        <v>831</v>
      </c>
      <c r="J126" s="11" t="s">
        <v>878</v>
      </c>
      <c r="K126" s="10" t="n">
        <v>6939</v>
      </c>
    </row>
    <row r="127" customFormat="false" ht="15" hidden="false" customHeight="false" outlineLevel="0" collapsed="false">
      <c r="A127" s="9" t="n">
        <v>45833</v>
      </c>
      <c r="B127" s="10" t="s">
        <v>532</v>
      </c>
      <c r="C127" s="10" t="s">
        <v>875</v>
      </c>
      <c r="D127" s="11" t="s">
        <v>1059</v>
      </c>
      <c r="E127" s="10" t="s">
        <v>9</v>
      </c>
      <c r="F127" s="10" t="s">
        <v>1060</v>
      </c>
      <c r="G127" s="10" t="s">
        <v>36</v>
      </c>
      <c r="H127" s="10" t="s">
        <v>831</v>
      </c>
      <c r="I127" s="10" t="s">
        <v>843</v>
      </c>
      <c r="J127" s="11"/>
      <c r="K127" s="10" t="n">
        <v>6950</v>
      </c>
    </row>
    <row r="128" customFormat="false" ht="15" hidden="false" customHeight="false" outlineLevel="0" collapsed="false">
      <c r="A128" s="9" t="n">
        <v>45833</v>
      </c>
      <c r="B128" s="10" t="s">
        <v>534</v>
      </c>
      <c r="C128" s="10" t="s">
        <v>828</v>
      </c>
      <c r="D128" s="11" t="s">
        <v>1061</v>
      </c>
      <c r="E128" s="10" t="s">
        <v>9</v>
      </c>
      <c r="F128" s="10" t="s">
        <v>1062</v>
      </c>
      <c r="G128" s="10" t="s">
        <v>36</v>
      </c>
      <c r="H128" s="10" t="s">
        <v>831</v>
      </c>
      <c r="I128" s="10" t="s">
        <v>831</v>
      </c>
      <c r="J128" s="11"/>
      <c r="K128" s="10" t="n">
        <v>6951</v>
      </c>
    </row>
    <row r="129" customFormat="false" ht="15" hidden="false" customHeight="false" outlineLevel="0" collapsed="false">
      <c r="A129" s="9" t="n">
        <v>45833</v>
      </c>
      <c r="B129" s="10" t="s">
        <v>534</v>
      </c>
      <c r="C129" s="10" t="s">
        <v>835</v>
      </c>
      <c r="D129" s="11" t="s">
        <v>1063</v>
      </c>
      <c r="E129" s="10" t="s">
        <v>8</v>
      </c>
      <c r="F129" s="10" t="s">
        <v>1064</v>
      </c>
      <c r="G129" s="10" t="s">
        <v>108</v>
      </c>
      <c r="H129" s="10" t="s">
        <v>831</v>
      </c>
      <c r="I129" s="10" t="s">
        <v>843</v>
      </c>
      <c r="J129" s="11"/>
      <c r="K129" s="10" t="n">
        <v>6952</v>
      </c>
    </row>
    <row r="130" customFormat="false" ht="15" hidden="false" customHeight="false" outlineLevel="0" collapsed="false">
      <c r="A130" s="9" t="n">
        <v>45833</v>
      </c>
      <c r="B130" s="10" t="s">
        <v>534</v>
      </c>
      <c r="C130" s="10" t="s">
        <v>875</v>
      </c>
      <c r="D130" s="11" t="s">
        <v>1059</v>
      </c>
      <c r="E130" s="10" t="s">
        <v>9</v>
      </c>
      <c r="F130" s="10" t="s">
        <v>1060</v>
      </c>
      <c r="G130" s="10" t="s">
        <v>36</v>
      </c>
      <c r="H130" s="10" t="s">
        <v>831</v>
      </c>
      <c r="I130" s="10" t="s">
        <v>843</v>
      </c>
      <c r="J130" s="11"/>
      <c r="K130" s="10" t="n">
        <v>6953</v>
      </c>
    </row>
    <row r="131" customFormat="false" ht="15" hidden="false" customHeight="false" outlineLevel="0" collapsed="false">
      <c r="A131" s="9" t="n">
        <v>45839</v>
      </c>
      <c r="B131" s="10" t="s">
        <v>538</v>
      </c>
      <c r="C131" s="10" t="s">
        <v>835</v>
      </c>
      <c r="D131" s="11" t="s">
        <v>1065</v>
      </c>
      <c r="E131" s="10" t="s">
        <v>9</v>
      </c>
      <c r="F131" s="10" t="s">
        <v>1066</v>
      </c>
      <c r="G131" s="10" t="s">
        <v>36</v>
      </c>
      <c r="H131" s="10" t="s">
        <v>8</v>
      </c>
      <c r="I131" s="10" t="s">
        <v>9</v>
      </c>
      <c r="J131" s="11" t="s">
        <v>838</v>
      </c>
      <c r="K131" s="10" t="n">
        <v>6954</v>
      </c>
    </row>
    <row r="132" customFormat="false" ht="15" hidden="false" customHeight="false" outlineLevel="0" collapsed="false">
      <c r="A132" s="9" t="n">
        <v>45840</v>
      </c>
      <c r="B132" s="10" t="s">
        <v>540</v>
      </c>
      <c r="C132" s="10" t="s">
        <v>828</v>
      </c>
      <c r="D132" s="11" t="s">
        <v>1067</v>
      </c>
      <c r="E132" s="10" t="s">
        <v>8</v>
      </c>
      <c r="F132" s="10" t="s">
        <v>1045</v>
      </c>
      <c r="G132" s="10" t="s">
        <v>36</v>
      </c>
      <c r="H132" s="10" t="s">
        <v>8</v>
      </c>
      <c r="I132" s="10" t="s">
        <v>8</v>
      </c>
      <c r="J132" s="11"/>
      <c r="K132" s="10" t="n">
        <v>6955</v>
      </c>
    </row>
    <row r="133" customFormat="false" ht="15" hidden="false" customHeight="false" outlineLevel="0" collapsed="false">
      <c r="A133" s="9" t="n">
        <v>45847</v>
      </c>
      <c r="B133" s="10" t="s">
        <v>554</v>
      </c>
      <c r="C133" s="10" t="s">
        <v>828</v>
      </c>
      <c r="D133" s="11" t="s">
        <v>1068</v>
      </c>
      <c r="E133" s="10" t="s">
        <v>8</v>
      </c>
      <c r="F133" s="10" t="s">
        <v>942</v>
      </c>
      <c r="G133" s="10" t="s">
        <v>36</v>
      </c>
      <c r="H133" s="10" t="s">
        <v>831</v>
      </c>
      <c r="I133" s="10" t="s">
        <v>831</v>
      </c>
      <c r="J133" s="11" t="s">
        <v>976</v>
      </c>
      <c r="K133" s="10" t="n">
        <v>6962</v>
      </c>
    </row>
    <row r="134" customFormat="false" ht="15" hidden="false" customHeight="false" outlineLevel="0" collapsed="false">
      <c r="A134" s="9" t="n">
        <v>45847</v>
      </c>
      <c r="B134" s="10" t="s">
        <v>554</v>
      </c>
      <c r="C134" s="10" t="s">
        <v>828</v>
      </c>
      <c r="D134" s="11" t="s">
        <v>1069</v>
      </c>
      <c r="E134" s="10" t="s">
        <v>8</v>
      </c>
      <c r="F134" s="10" t="s">
        <v>1049</v>
      </c>
      <c r="G134" s="10" t="s">
        <v>36</v>
      </c>
      <c r="H134" s="10" t="s">
        <v>831</v>
      </c>
      <c r="I134" s="10" t="s">
        <v>831</v>
      </c>
      <c r="J134" s="11" t="s">
        <v>1070</v>
      </c>
      <c r="K134" s="10" t="n">
        <v>6963</v>
      </c>
    </row>
    <row r="135" customFormat="false" ht="15" hidden="false" customHeight="false" outlineLevel="0" collapsed="false">
      <c r="A135" s="9" t="n">
        <v>45854</v>
      </c>
      <c r="B135" s="10" t="s">
        <v>557</v>
      </c>
      <c r="C135" s="10" t="s">
        <v>828</v>
      </c>
      <c r="D135" s="11" t="s">
        <v>1071</v>
      </c>
      <c r="E135" s="10" t="s">
        <v>12</v>
      </c>
      <c r="F135" s="10" t="s">
        <v>904</v>
      </c>
      <c r="G135" s="10" t="s">
        <v>36</v>
      </c>
      <c r="H135" s="10" t="s">
        <v>8</v>
      </c>
      <c r="I135" s="10" t="s">
        <v>8</v>
      </c>
      <c r="J135" s="11" t="s">
        <v>1072</v>
      </c>
      <c r="K135" s="10" t="n">
        <v>6964</v>
      </c>
    </row>
    <row r="136" customFormat="false" ht="23.85" hidden="false" customHeight="false" outlineLevel="0" collapsed="false">
      <c r="A136" s="9" t="n">
        <v>45854</v>
      </c>
      <c r="B136" s="10" t="s">
        <v>559</v>
      </c>
      <c r="C136" s="10" t="s">
        <v>828</v>
      </c>
      <c r="D136" s="11" t="s">
        <v>1073</v>
      </c>
      <c r="E136" s="10" t="s">
        <v>12</v>
      </c>
      <c r="F136" s="10" t="s">
        <v>1074</v>
      </c>
      <c r="G136" s="10" t="s">
        <v>36</v>
      </c>
      <c r="H136" s="10" t="s">
        <v>8</v>
      </c>
      <c r="I136" s="10" t="s">
        <v>8</v>
      </c>
      <c r="J136" s="11" t="s">
        <v>1075</v>
      </c>
      <c r="K136" s="10" t="n">
        <v>6965</v>
      </c>
    </row>
    <row r="137" customFormat="false" ht="15" hidden="false" customHeight="false" outlineLevel="0" collapsed="false">
      <c r="A137" s="9" t="n">
        <v>45889</v>
      </c>
      <c r="B137" s="10" t="s">
        <v>639</v>
      </c>
      <c r="C137" s="10" t="s">
        <v>828</v>
      </c>
      <c r="D137" s="11" t="s">
        <v>1076</v>
      </c>
      <c r="E137" s="10" t="s">
        <v>8</v>
      </c>
      <c r="F137" s="10" t="s">
        <v>970</v>
      </c>
      <c r="G137" s="10" t="s">
        <v>36</v>
      </c>
      <c r="H137" s="10" t="s">
        <v>8</v>
      </c>
      <c r="I137" s="10" t="s">
        <v>8</v>
      </c>
      <c r="J137" s="11" t="s">
        <v>834</v>
      </c>
      <c r="K137" s="10" t="n">
        <v>7006</v>
      </c>
    </row>
    <row r="138" customFormat="false" ht="15" hidden="false" customHeight="false" outlineLevel="0" collapsed="false">
      <c r="A138" s="9" t="n">
        <v>45902</v>
      </c>
      <c r="B138" s="10" t="s">
        <v>478</v>
      </c>
      <c r="C138" s="10" t="s">
        <v>828</v>
      </c>
      <c r="D138" s="11" t="s">
        <v>1077</v>
      </c>
      <c r="E138" s="10" t="s">
        <v>8</v>
      </c>
      <c r="F138" s="10" t="s">
        <v>1078</v>
      </c>
      <c r="G138" s="10" t="s">
        <v>36</v>
      </c>
      <c r="H138" s="10" t="s">
        <v>831</v>
      </c>
      <c r="I138" s="10" t="s">
        <v>8</v>
      </c>
      <c r="J138" s="11"/>
      <c r="K138" s="10" t="n">
        <v>7007</v>
      </c>
    </row>
    <row r="139" customFormat="false" ht="15" hidden="false" customHeight="false" outlineLevel="0" collapsed="false">
      <c r="A139" s="9" t="n">
        <v>45902</v>
      </c>
      <c r="B139" s="10" t="s">
        <v>559</v>
      </c>
      <c r="C139" s="10" t="s">
        <v>835</v>
      </c>
      <c r="D139" s="11" t="s">
        <v>1079</v>
      </c>
      <c r="E139" s="10" t="s">
        <v>12</v>
      </c>
      <c r="F139" s="10" t="s">
        <v>1080</v>
      </c>
      <c r="G139" s="10" t="s">
        <v>36</v>
      </c>
      <c r="H139" s="10" t="s">
        <v>8</v>
      </c>
      <c r="I139" s="10" t="s">
        <v>9</v>
      </c>
      <c r="J139" s="11" t="s">
        <v>854</v>
      </c>
      <c r="K139" s="10" t="n">
        <v>7008</v>
      </c>
    </row>
    <row r="140" customFormat="false" ht="23.85" hidden="false" customHeight="false" outlineLevel="0" collapsed="false">
      <c r="A140" s="9" t="n">
        <v>45902</v>
      </c>
      <c r="B140" s="10" t="s">
        <v>559</v>
      </c>
      <c r="C140" s="10" t="s">
        <v>828</v>
      </c>
      <c r="D140" s="11" t="s">
        <v>1081</v>
      </c>
      <c r="E140" s="10" t="s">
        <v>12</v>
      </c>
      <c r="F140" s="10" t="s">
        <v>1082</v>
      </c>
      <c r="G140" s="10" t="s">
        <v>36</v>
      </c>
      <c r="H140" s="10" t="s">
        <v>831</v>
      </c>
      <c r="I140" s="10" t="s">
        <v>8</v>
      </c>
      <c r="J140" s="11" t="s">
        <v>1083</v>
      </c>
      <c r="K140" s="10" t="n">
        <v>7009</v>
      </c>
    </row>
    <row r="141" customFormat="false" ht="15" hidden="false" customHeight="false" outlineLevel="0" collapsed="false">
      <c r="A141" s="9" t="n">
        <v>45902</v>
      </c>
      <c r="B141" s="10" t="s">
        <v>643</v>
      </c>
      <c r="C141" s="10" t="s">
        <v>835</v>
      </c>
      <c r="D141" s="11" t="s">
        <v>1084</v>
      </c>
      <c r="E141" s="10" t="s">
        <v>12</v>
      </c>
      <c r="F141" s="10" t="s">
        <v>935</v>
      </c>
      <c r="G141" s="10" t="s">
        <v>36</v>
      </c>
      <c r="H141" s="10" t="s">
        <v>831</v>
      </c>
      <c r="I141" s="10" t="s">
        <v>831</v>
      </c>
      <c r="J141" s="11" t="s">
        <v>854</v>
      </c>
      <c r="K141" s="10" t="n">
        <v>7010</v>
      </c>
    </row>
    <row r="142" customFormat="false" ht="15" hidden="false" customHeight="false" outlineLevel="0" collapsed="false">
      <c r="A142" s="9" t="n">
        <v>45917</v>
      </c>
      <c r="B142" s="10" t="s">
        <v>645</v>
      </c>
      <c r="C142" s="10" t="s">
        <v>828</v>
      </c>
      <c r="D142" s="11" t="s">
        <v>1085</v>
      </c>
      <c r="E142" s="10" t="s">
        <v>10</v>
      </c>
      <c r="F142" s="10" t="s">
        <v>1086</v>
      </c>
      <c r="G142" s="10" t="s">
        <v>36</v>
      </c>
      <c r="H142" s="10" t="s">
        <v>8</v>
      </c>
      <c r="I142" s="10" t="s">
        <v>1087</v>
      </c>
      <c r="J142" s="11"/>
      <c r="K142" s="10" t="n">
        <v>7011</v>
      </c>
    </row>
    <row r="143" customFormat="false" ht="23.85" hidden="false" customHeight="false" outlineLevel="0" collapsed="false">
      <c r="A143" s="9" t="n">
        <v>45924</v>
      </c>
      <c r="B143" s="10" t="s">
        <v>647</v>
      </c>
      <c r="C143" s="10" t="s">
        <v>828</v>
      </c>
      <c r="D143" s="11" t="s">
        <v>1088</v>
      </c>
      <c r="E143" s="10" t="s">
        <v>12</v>
      </c>
      <c r="F143" s="10" t="s">
        <v>970</v>
      </c>
      <c r="G143" s="10" t="s">
        <v>36</v>
      </c>
      <c r="H143" s="10" t="s">
        <v>8</v>
      </c>
      <c r="I143" s="10" t="s">
        <v>8</v>
      </c>
      <c r="J143" s="11" t="s">
        <v>1072</v>
      </c>
      <c r="K143" s="10" t="n">
        <v>7012</v>
      </c>
    </row>
    <row r="144" customFormat="false" ht="15" hidden="false" customHeight="false" outlineLevel="0" collapsed="false">
      <c r="A144" s="9" t="n">
        <v>45930</v>
      </c>
      <c r="B144" s="10" t="s">
        <v>649</v>
      </c>
      <c r="C144" s="10" t="s">
        <v>828</v>
      </c>
      <c r="D144" s="11" t="s">
        <v>1089</v>
      </c>
      <c r="E144" s="10" t="s">
        <v>9</v>
      </c>
      <c r="F144" s="10" t="s">
        <v>1090</v>
      </c>
      <c r="G144" s="10" t="s">
        <v>36</v>
      </c>
      <c r="H144" s="10" t="s">
        <v>8</v>
      </c>
      <c r="I144" s="10" t="s">
        <v>9</v>
      </c>
      <c r="J144" s="11" t="s">
        <v>838</v>
      </c>
      <c r="K144" s="10" t="n">
        <v>7013</v>
      </c>
    </row>
    <row r="145" customFormat="false" ht="15" hidden="false" customHeight="false" outlineLevel="0" collapsed="false">
      <c r="A145" s="9" t="n">
        <v>45930</v>
      </c>
      <c r="B145" s="10" t="s">
        <v>649</v>
      </c>
      <c r="C145" s="10" t="s">
        <v>835</v>
      </c>
      <c r="D145" s="11" t="s">
        <v>1091</v>
      </c>
      <c r="E145" s="10" t="s">
        <v>8</v>
      </c>
      <c r="F145" s="10" t="s">
        <v>1092</v>
      </c>
      <c r="G145" s="10" t="s">
        <v>108</v>
      </c>
      <c r="H145" s="10" t="s">
        <v>9</v>
      </c>
      <c r="I145" s="10" t="s">
        <v>8</v>
      </c>
      <c r="J145" s="11" t="s">
        <v>838</v>
      </c>
      <c r="K145" s="10" t="n">
        <v>7014</v>
      </c>
    </row>
    <row r="146" customFormat="false" ht="15" hidden="false" customHeight="false" outlineLevel="0" collapsed="false">
      <c r="A146" s="9" t="n">
        <v>45937</v>
      </c>
      <c r="B146" s="10" t="s">
        <v>652</v>
      </c>
      <c r="C146" s="10" t="s">
        <v>828</v>
      </c>
      <c r="D146" s="11" t="s">
        <v>1093</v>
      </c>
      <c r="E146" s="10" t="s">
        <v>8</v>
      </c>
      <c r="F146" s="10" t="s">
        <v>871</v>
      </c>
      <c r="G146" s="10" t="s">
        <v>36</v>
      </c>
      <c r="H146" s="10" t="s">
        <v>8</v>
      </c>
      <c r="I146" s="10" t="s">
        <v>8</v>
      </c>
      <c r="J146" s="11" t="s">
        <v>834</v>
      </c>
      <c r="K146" s="10" t="n">
        <v>7015</v>
      </c>
    </row>
    <row r="147" customFormat="false" ht="15" hidden="false" customHeight="false" outlineLevel="0" collapsed="false">
      <c r="A147" s="9" t="n">
        <v>45951</v>
      </c>
      <c r="B147" s="10" t="s">
        <v>654</v>
      </c>
      <c r="C147" s="10" t="s">
        <v>828</v>
      </c>
      <c r="D147" s="11" t="s">
        <v>1094</v>
      </c>
      <c r="E147" s="10" t="s">
        <v>9</v>
      </c>
      <c r="F147" s="10" t="s">
        <v>1095</v>
      </c>
      <c r="G147" s="10" t="s">
        <v>36</v>
      </c>
      <c r="H147" s="10" t="s">
        <v>8</v>
      </c>
      <c r="I147" s="10" t="s">
        <v>9</v>
      </c>
      <c r="J147" s="11" t="s">
        <v>838</v>
      </c>
      <c r="K147" s="10" t="n">
        <v>7016</v>
      </c>
    </row>
    <row r="148" customFormat="false" ht="15" hidden="false" customHeight="false" outlineLevel="0" collapsed="false">
      <c r="A148" s="9" t="n">
        <v>45952</v>
      </c>
      <c r="B148" s="10" t="s">
        <v>656</v>
      </c>
      <c r="C148" s="10" t="s">
        <v>828</v>
      </c>
      <c r="D148" s="11" t="s">
        <v>1096</v>
      </c>
      <c r="E148" s="10" t="s">
        <v>8</v>
      </c>
      <c r="F148" s="10" t="s">
        <v>1097</v>
      </c>
      <c r="G148" s="10" t="s">
        <v>36</v>
      </c>
      <c r="H148" s="10" t="s">
        <v>8</v>
      </c>
      <c r="I148" s="10" t="s">
        <v>843</v>
      </c>
      <c r="J148" s="11"/>
      <c r="K148" s="10" t="n">
        <v>7017</v>
      </c>
    </row>
    <row r="149" customFormat="false" ht="15" hidden="false" customHeight="false" outlineLevel="0" collapsed="false">
      <c r="A149" s="9" t="n">
        <v>45986</v>
      </c>
      <c r="B149" s="10" t="s">
        <v>677</v>
      </c>
      <c r="C149" s="10" t="s">
        <v>828</v>
      </c>
      <c r="D149" s="11" t="s">
        <v>1098</v>
      </c>
      <c r="E149" s="10" t="s">
        <v>8</v>
      </c>
      <c r="F149" s="10" t="s">
        <v>942</v>
      </c>
      <c r="G149" s="10" t="s">
        <v>36</v>
      </c>
      <c r="H149" s="10" t="s">
        <v>831</v>
      </c>
      <c r="I149" s="10" t="s">
        <v>8</v>
      </c>
      <c r="J149" s="11"/>
      <c r="K149" s="10" t="n">
        <v>7029</v>
      </c>
    </row>
    <row r="150" customFormat="false" ht="15" hidden="false" customHeight="false" outlineLevel="0" collapsed="false">
      <c r="A150" s="9" t="n">
        <v>45994</v>
      </c>
      <c r="B150" s="10" t="s">
        <v>679</v>
      </c>
      <c r="C150" s="10" t="s">
        <v>828</v>
      </c>
      <c r="D150" s="11" t="s">
        <v>1099</v>
      </c>
      <c r="E150" s="10" t="s">
        <v>9</v>
      </c>
      <c r="F150" s="10" t="s">
        <v>1100</v>
      </c>
      <c r="G150" s="10" t="s">
        <v>36</v>
      </c>
      <c r="H150" s="10" t="s">
        <v>8</v>
      </c>
      <c r="I150" s="10" t="s">
        <v>9</v>
      </c>
      <c r="J150" s="11" t="s">
        <v>838</v>
      </c>
      <c r="K150" s="10" t="n">
        <v>7030</v>
      </c>
    </row>
    <row r="151" customFormat="false" ht="15" hidden="false" customHeight="false" outlineLevel="0" collapsed="false">
      <c r="A151" s="9" t="n">
        <v>46000</v>
      </c>
      <c r="B151" s="10" t="s">
        <v>681</v>
      </c>
      <c r="C151" s="10" t="s">
        <v>875</v>
      </c>
      <c r="D151" s="11" t="s">
        <v>1101</v>
      </c>
      <c r="E151" s="10" t="s">
        <v>8</v>
      </c>
      <c r="F151" s="10" t="s">
        <v>1102</v>
      </c>
      <c r="G151" s="10" t="s">
        <v>36</v>
      </c>
      <c r="H151" s="10" t="s">
        <v>9</v>
      </c>
      <c r="I151" s="10" t="s">
        <v>8</v>
      </c>
      <c r="J151" s="11" t="s">
        <v>838</v>
      </c>
      <c r="K151" s="10" t="n">
        <v>7031</v>
      </c>
    </row>
    <row r="152" customFormat="false" ht="23.85" hidden="false" customHeight="false" outlineLevel="0" collapsed="false">
      <c r="A152" s="9" t="n">
        <v>46000</v>
      </c>
      <c r="B152" s="10" t="s">
        <v>683</v>
      </c>
      <c r="C152" s="10" t="s">
        <v>828</v>
      </c>
      <c r="D152" s="11" t="s">
        <v>1103</v>
      </c>
      <c r="E152" s="10" t="s">
        <v>8</v>
      </c>
      <c r="F152" s="10" t="s">
        <v>1104</v>
      </c>
      <c r="G152" s="10" t="s">
        <v>36</v>
      </c>
      <c r="H152" s="10" t="s">
        <v>9</v>
      </c>
      <c r="I152" s="10" t="s">
        <v>8</v>
      </c>
      <c r="J152" s="11" t="s">
        <v>1105</v>
      </c>
      <c r="K152" s="10" t="n">
        <v>7032</v>
      </c>
    </row>
    <row r="153" customFormat="false" ht="23.85" hidden="false" customHeight="false" outlineLevel="0" collapsed="false">
      <c r="A153" s="9" t="n">
        <v>46000</v>
      </c>
      <c r="B153" s="10" t="s">
        <v>683</v>
      </c>
      <c r="C153" s="10" t="s">
        <v>828</v>
      </c>
      <c r="D153" s="11" t="s">
        <v>1106</v>
      </c>
      <c r="E153" s="10" t="s">
        <v>8</v>
      </c>
      <c r="F153" s="10" t="s">
        <v>1107</v>
      </c>
      <c r="G153" s="10" t="s">
        <v>36</v>
      </c>
      <c r="H153" s="10" t="s">
        <v>9</v>
      </c>
      <c r="I153" s="10" t="s">
        <v>8</v>
      </c>
      <c r="J153" s="11" t="s">
        <v>1105</v>
      </c>
      <c r="K153" s="10" t="n">
        <v>7033</v>
      </c>
    </row>
    <row r="154" customFormat="false" ht="15" hidden="false" customHeight="false" outlineLevel="0" collapsed="false">
      <c r="A154" s="9" t="n">
        <v>46000</v>
      </c>
      <c r="B154" s="10" t="s">
        <v>683</v>
      </c>
      <c r="C154" s="10" t="s">
        <v>875</v>
      </c>
      <c r="D154" s="11" t="s">
        <v>1101</v>
      </c>
      <c r="E154" s="10" t="s">
        <v>8</v>
      </c>
      <c r="F154" s="10" t="s">
        <v>1102</v>
      </c>
      <c r="G154" s="10" t="s">
        <v>36</v>
      </c>
      <c r="H154" s="10" t="s">
        <v>9</v>
      </c>
      <c r="I154" s="10" t="s">
        <v>8</v>
      </c>
      <c r="J154" s="11" t="s">
        <v>838</v>
      </c>
      <c r="K154" s="10" t="n">
        <v>7034</v>
      </c>
    </row>
    <row r="155" customFormat="false" ht="23.85" hidden="false" customHeight="false" outlineLevel="0" collapsed="false">
      <c r="A155" s="9" t="n">
        <v>46001</v>
      </c>
      <c r="B155" s="10" t="s">
        <v>687</v>
      </c>
      <c r="C155" s="10" t="s">
        <v>828</v>
      </c>
      <c r="D155" s="11" t="s">
        <v>1108</v>
      </c>
      <c r="E155" s="10" t="s">
        <v>8</v>
      </c>
      <c r="F155" s="10" t="s">
        <v>845</v>
      </c>
      <c r="G155" s="10" t="s">
        <v>36</v>
      </c>
      <c r="H155" s="10" t="s">
        <v>8</v>
      </c>
      <c r="I155" s="10" t="s">
        <v>8</v>
      </c>
      <c r="J155" s="11" t="s">
        <v>846</v>
      </c>
      <c r="K155" s="10" t="n">
        <v>7035</v>
      </c>
    </row>
    <row r="156" customFormat="false" ht="23.85" hidden="false" customHeight="false" outlineLevel="0" collapsed="false">
      <c r="A156" s="9" t="n">
        <v>46001</v>
      </c>
      <c r="B156" s="10" t="s">
        <v>687</v>
      </c>
      <c r="C156" s="10" t="s">
        <v>828</v>
      </c>
      <c r="D156" s="11" t="s">
        <v>1109</v>
      </c>
      <c r="E156" s="10" t="s">
        <v>8</v>
      </c>
      <c r="F156" s="10" t="s">
        <v>842</v>
      </c>
      <c r="G156" s="10" t="s">
        <v>36</v>
      </c>
      <c r="H156" s="10" t="s">
        <v>8</v>
      </c>
      <c r="I156" s="10" t="s">
        <v>8</v>
      </c>
      <c r="J156" s="11" t="s">
        <v>1110</v>
      </c>
      <c r="K156" s="10" t="n">
        <v>7036</v>
      </c>
    </row>
    <row r="157" customFormat="false" ht="15" hidden="false" customHeight="false" outlineLevel="0" collapsed="false">
      <c r="A157" s="9" t="n">
        <v>46001</v>
      </c>
      <c r="B157" s="10" t="s">
        <v>690</v>
      </c>
      <c r="C157" s="10" t="s">
        <v>828</v>
      </c>
      <c r="D157" s="11" t="s">
        <v>1111</v>
      </c>
      <c r="E157" s="10" t="s">
        <v>8</v>
      </c>
      <c r="F157" s="10" t="s">
        <v>970</v>
      </c>
      <c r="G157" s="10" t="s">
        <v>36</v>
      </c>
      <c r="H157" s="10" t="s">
        <v>8</v>
      </c>
      <c r="I157" s="10" t="s">
        <v>8</v>
      </c>
      <c r="J157" s="11" t="s">
        <v>834</v>
      </c>
      <c r="K157" s="10" t="n">
        <v>7037</v>
      </c>
    </row>
    <row r="158" customFormat="false" ht="15" hidden="false" customHeight="false" outlineLevel="0" collapsed="false">
      <c r="A158" s="9" t="n">
        <v>46007</v>
      </c>
      <c r="B158" s="10" t="s">
        <v>692</v>
      </c>
      <c r="C158" s="10" t="s">
        <v>828</v>
      </c>
      <c r="D158" s="11" t="s">
        <v>1112</v>
      </c>
      <c r="E158" s="10" t="s">
        <v>8</v>
      </c>
      <c r="F158" s="10" t="s">
        <v>923</v>
      </c>
      <c r="G158" s="10" t="s">
        <v>36</v>
      </c>
      <c r="H158" s="10" t="s">
        <v>8</v>
      </c>
      <c r="I158" s="10" t="s">
        <v>843</v>
      </c>
      <c r="J158" s="11" t="s">
        <v>834</v>
      </c>
      <c r="K158" s="10" t="n">
        <v>7038</v>
      </c>
    </row>
    <row r="159" customFormat="false" ht="23.85" hidden="false" customHeight="false" outlineLevel="0" collapsed="false">
      <c r="A159" s="9" t="n">
        <v>46007</v>
      </c>
      <c r="B159" s="10" t="s">
        <v>694</v>
      </c>
      <c r="C159" s="10" t="s">
        <v>828</v>
      </c>
      <c r="D159" s="11" t="s">
        <v>1113</v>
      </c>
      <c r="E159" s="10" t="s">
        <v>12</v>
      </c>
      <c r="F159" s="10" t="s">
        <v>864</v>
      </c>
      <c r="G159" s="10" t="s">
        <v>36</v>
      </c>
      <c r="H159" s="10" t="s">
        <v>8</v>
      </c>
      <c r="I159" s="10" t="s">
        <v>8</v>
      </c>
      <c r="J159" s="11" t="s">
        <v>1114</v>
      </c>
      <c r="K159" s="10" t="n">
        <v>7039</v>
      </c>
    </row>
    <row r="160" customFormat="false" ht="23.85" hidden="false" customHeight="false" outlineLevel="0" collapsed="false">
      <c r="A160" s="9" t="n">
        <v>46007</v>
      </c>
      <c r="B160" s="10" t="s">
        <v>694</v>
      </c>
      <c r="C160" s="10" t="s">
        <v>828</v>
      </c>
      <c r="D160" s="11" t="s">
        <v>1115</v>
      </c>
      <c r="E160" s="10" t="s">
        <v>8</v>
      </c>
      <c r="F160" s="10" t="s">
        <v>970</v>
      </c>
      <c r="G160" s="10" t="s">
        <v>36</v>
      </c>
      <c r="H160" s="10" t="s">
        <v>8</v>
      </c>
      <c r="I160" s="10" t="s">
        <v>8</v>
      </c>
      <c r="J160" s="11" t="s">
        <v>971</v>
      </c>
      <c r="K160" s="10" t="n">
        <v>7040</v>
      </c>
    </row>
    <row r="161" customFormat="false" ht="23.85" hidden="false" customHeight="false" outlineLevel="0" collapsed="false">
      <c r="A161" s="9" t="n">
        <v>46008</v>
      </c>
      <c r="B161" s="10" t="s">
        <v>697</v>
      </c>
      <c r="C161" s="10" t="s">
        <v>828</v>
      </c>
      <c r="D161" s="11" t="s">
        <v>1116</v>
      </c>
      <c r="E161" s="10" t="s">
        <v>8</v>
      </c>
      <c r="F161" s="10" t="s">
        <v>1117</v>
      </c>
      <c r="G161" s="10" t="s">
        <v>36</v>
      </c>
      <c r="H161" s="10" t="s">
        <v>9</v>
      </c>
      <c r="I161" s="10" t="s">
        <v>8</v>
      </c>
      <c r="J161" s="11" t="s">
        <v>838</v>
      </c>
      <c r="K161" s="10" t="n">
        <v>7041</v>
      </c>
    </row>
    <row r="162" customFormat="false" ht="15" hidden="false" customHeight="false" outlineLevel="0" collapsed="false">
      <c r="A162" s="9" t="n">
        <v>46008</v>
      </c>
      <c r="B162" s="10" t="s">
        <v>699</v>
      </c>
      <c r="C162" s="10" t="s">
        <v>828</v>
      </c>
      <c r="D162" s="11" t="s">
        <v>1118</v>
      </c>
      <c r="E162" s="10" t="s">
        <v>12</v>
      </c>
      <c r="F162" s="10" t="s">
        <v>1119</v>
      </c>
      <c r="G162" s="10" t="s">
        <v>36</v>
      </c>
      <c r="H162" s="10" t="s">
        <v>8</v>
      </c>
      <c r="I162" s="10" t="s">
        <v>8</v>
      </c>
      <c r="J162" s="11" t="s">
        <v>854</v>
      </c>
      <c r="K162" s="10" t="n">
        <v>7042</v>
      </c>
    </row>
    <row r="163" customFormat="false" ht="15" hidden="false" customHeight="false" outlineLevel="0" collapsed="false">
      <c r="A163" s="9" t="n">
        <v>46008</v>
      </c>
      <c r="B163" s="10" t="s">
        <v>699</v>
      </c>
      <c r="C163" s="10" t="s">
        <v>835</v>
      </c>
      <c r="D163" s="11" t="s">
        <v>1120</v>
      </c>
      <c r="E163" s="10" t="s">
        <v>9</v>
      </c>
      <c r="F163" s="10" t="s">
        <v>1121</v>
      </c>
      <c r="G163" s="10" t="s">
        <v>36</v>
      </c>
      <c r="H163" s="10" t="s">
        <v>8</v>
      </c>
      <c r="I163" s="10" t="s">
        <v>843</v>
      </c>
      <c r="J163" s="11" t="s">
        <v>838</v>
      </c>
      <c r="K163" s="10" t="n">
        <v>7043</v>
      </c>
    </row>
    <row r="164" customFormat="false" ht="15" hidden="false" customHeight="false" outlineLevel="0" collapsed="false">
      <c r="A164" s="9" t="n">
        <v>46008</v>
      </c>
      <c r="B164" s="10" t="s">
        <v>702</v>
      </c>
      <c r="C164" s="10" t="s">
        <v>875</v>
      </c>
      <c r="D164" s="11" t="s">
        <v>705</v>
      </c>
      <c r="E164" s="10" t="s">
        <v>9</v>
      </c>
      <c r="F164" s="10" t="s">
        <v>1122</v>
      </c>
      <c r="G164" s="10" t="s">
        <v>108</v>
      </c>
      <c r="H164" s="10" t="s">
        <v>831</v>
      </c>
      <c r="I164" s="10" t="s">
        <v>9</v>
      </c>
      <c r="J164" s="11"/>
      <c r="K164" s="10" t="n">
        <v>7045</v>
      </c>
    </row>
    <row r="165" customFormat="false" ht="15" hidden="false" customHeight="false" outlineLevel="0" collapsed="false">
      <c r="A165" s="9" t="n">
        <v>46008</v>
      </c>
      <c r="B165" s="10" t="s">
        <v>704</v>
      </c>
      <c r="C165" s="10" t="s">
        <v>875</v>
      </c>
      <c r="D165" s="11" t="s">
        <v>705</v>
      </c>
      <c r="E165" s="10" t="s">
        <v>9</v>
      </c>
      <c r="F165" s="10" t="s">
        <v>1122</v>
      </c>
      <c r="G165" s="10" t="s">
        <v>108</v>
      </c>
      <c r="H165" s="10" t="s">
        <v>831</v>
      </c>
      <c r="I165" s="10" t="s">
        <v>9</v>
      </c>
      <c r="J165" s="11"/>
      <c r="K165" s="10" t="n">
        <v>7046</v>
      </c>
    </row>
    <row r="166" customFormat="false" ht="23.85" hidden="false" customHeight="false" outlineLevel="0" collapsed="false">
      <c r="A166" s="9" t="n">
        <v>46077</v>
      </c>
      <c r="B166" s="10" t="s">
        <v>706</v>
      </c>
      <c r="C166" s="10" t="s">
        <v>828</v>
      </c>
      <c r="D166" s="11" t="s">
        <v>1123</v>
      </c>
      <c r="E166" s="10" t="s">
        <v>12</v>
      </c>
      <c r="F166" s="10" t="s">
        <v>842</v>
      </c>
      <c r="G166" s="10" t="s">
        <v>36</v>
      </c>
      <c r="H166" s="10" t="s">
        <v>8</v>
      </c>
      <c r="I166" s="10" t="s">
        <v>8</v>
      </c>
      <c r="J166" s="11" t="s">
        <v>1124</v>
      </c>
      <c r="K166" s="10" t="n">
        <v>7047</v>
      </c>
    </row>
    <row r="167" customFormat="false" ht="23.85" hidden="false" customHeight="false" outlineLevel="0" collapsed="false">
      <c r="A167" s="9" t="n">
        <v>46077</v>
      </c>
      <c r="B167" s="10" t="s">
        <v>706</v>
      </c>
      <c r="C167" s="10" t="s">
        <v>828</v>
      </c>
      <c r="D167" s="11" t="s">
        <v>1125</v>
      </c>
      <c r="E167" s="10" t="s">
        <v>8</v>
      </c>
      <c r="F167" s="10" t="s">
        <v>1126</v>
      </c>
      <c r="G167" s="10" t="s">
        <v>36</v>
      </c>
      <c r="H167" s="10" t="s">
        <v>8</v>
      </c>
      <c r="I167" s="10" t="s">
        <v>8</v>
      </c>
      <c r="J167" s="11" t="s">
        <v>1127</v>
      </c>
      <c r="K167" s="10" t="n">
        <v>7048</v>
      </c>
    </row>
    <row r="168" customFormat="false" ht="15" hidden="false" customHeight="false" outlineLevel="0" collapsed="false">
      <c r="A168" s="9" t="n">
        <v>46078</v>
      </c>
      <c r="B168" s="10" t="s">
        <v>709</v>
      </c>
      <c r="C168" s="10" t="s">
        <v>828</v>
      </c>
      <c r="D168" s="11" t="s">
        <v>1128</v>
      </c>
      <c r="E168" s="10" t="s">
        <v>15</v>
      </c>
      <c r="F168" s="10" t="s">
        <v>1129</v>
      </c>
      <c r="G168" s="10" t="s">
        <v>36</v>
      </c>
      <c r="H168" s="10" t="s">
        <v>8</v>
      </c>
      <c r="I168" s="10" t="s">
        <v>831</v>
      </c>
      <c r="J168" s="11" t="s">
        <v>878</v>
      </c>
      <c r="K168" s="10" t="n">
        <v>7049</v>
      </c>
    </row>
    <row r="169" customFormat="false" ht="15" hidden="false" customHeight="false" outlineLevel="0" collapsed="false">
      <c r="A169" s="9" t="n">
        <v>46105</v>
      </c>
      <c r="B169" s="10" t="s">
        <v>711</v>
      </c>
      <c r="C169" s="10" t="s">
        <v>828</v>
      </c>
      <c r="D169" s="11" t="s">
        <v>1130</v>
      </c>
      <c r="E169" s="10" t="s">
        <v>8</v>
      </c>
      <c r="F169" s="10" t="s">
        <v>845</v>
      </c>
      <c r="G169" s="10" t="s">
        <v>36</v>
      </c>
      <c r="H169" s="10" t="s">
        <v>8</v>
      </c>
      <c r="I169" s="10" t="s">
        <v>8</v>
      </c>
      <c r="J169" s="11" t="s">
        <v>834</v>
      </c>
      <c r="K169" s="10" t="n">
        <v>7050</v>
      </c>
    </row>
    <row r="170" customFormat="false" ht="15" hidden="false" customHeight="false" outlineLevel="0" collapsed="false">
      <c r="A170" s="9" t="n">
        <v>46105</v>
      </c>
      <c r="B170" s="10" t="s">
        <v>713</v>
      </c>
      <c r="C170" s="10" t="s">
        <v>828</v>
      </c>
      <c r="D170" s="11" t="s">
        <v>1131</v>
      </c>
      <c r="E170" s="10" t="s">
        <v>12</v>
      </c>
      <c r="F170" s="10" t="s">
        <v>1132</v>
      </c>
      <c r="G170" s="10" t="s">
        <v>36</v>
      </c>
      <c r="H170" s="10" t="s">
        <v>8</v>
      </c>
      <c r="I170" s="10" t="s">
        <v>8</v>
      </c>
      <c r="J170" s="11" t="s">
        <v>854</v>
      </c>
      <c r="K170" s="10" t="n">
        <v>7051</v>
      </c>
    </row>
    <row r="171" customFormat="false" ht="15" hidden="false" customHeight="false" outlineLevel="0" collapsed="false">
      <c r="A171" s="9" t="n">
        <v>46106</v>
      </c>
      <c r="B171" s="10" t="s">
        <v>715</v>
      </c>
      <c r="C171" s="10" t="s">
        <v>828</v>
      </c>
      <c r="D171" s="11" t="s">
        <v>1133</v>
      </c>
      <c r="E171" s="10" t="s">
        <v>8</v>
      </c>
      <c r="F171" s="10" t="s">
        <v>840</v>
      </c>
      <c r="G171" s="10" t="s">
        <v>36</v>
      </c>
      <c r="H171" s="10" t="s">
        <v>8</v>
      </c>
      <c r="I171" s="10" t="s">
        <v>831</v>
      </c>
      <c r="J171" s="11" t="s">
        <v>834</v>
      </c>
      <c r="K171" s="10" t="n">
        <v>7052</v>
      </c>
    </row>
    <row r="172" customFormat="false" ht="15" hidden="false" customHeight="false" outlineLevel="0" collapsed="false">
      <c r="A172" s="9" t="n">
        <v>46169</v>
      </c>
      <c r="B172" s="10" t="s">
        <v>792</v>
      </c>
      <c r="C172" s="10" t="s">
        <v>828</v>
      </c>
      <c r="D172" s="11" t="s">
        <v>1134</v>
      </c>
      <c r="E172" s="10" t="s">
        <v>13</v>
      </c>
      <c r="F172" s="10" t="s">
        <v>1126</v>
      </c>
      <c r="G172" s="10" t="s">
        <v>36</v>
      </c>
      <c r="H172" s="10" t="s">
        <v>831</v>
      </c>
      <c r="I172" s="10" t="s">
        <v>8</v>
      </c>
      <c r="J172" s="11" t="s">
        <v>878</v>
      </c>
      <c r="K172" s="10" t="n">
        <v>7091</v>
      </c>
    </row>
    <row r="173" customFormat="false" ht="15" hidden="false" customHeight="false" outlineLevel="0" collapsed="false">
      <c r="A173" s="9" t="n">
        <v>46182</v>
      </c>
      <c r="B173" s="10" t="s">
        <v>793</v>
      </c>
      <c r="C173" s="10" t="s">
        <v>828</v>
      </c>
      <c r="D173" s="11" t="s">
        <v>1135</v>
      </c>
      <c r="E173" s="10" t="s">
        <v>14</v>
      </c>
      <c r="F173" s="10" t="s">
        <v>1136</v>
      </c>
      <c r="G173" s="10" t="s">
        <v>36</v>
      </c>
      <c r="H173" s="10" t="s">
        <v>831</v>
      </c>
      <c r="I173" s="10" t="s">
        <v>831</v>
      </c>
      <c r="J173" s="11" t="s">
        <v>878</v>
      </c>
      <c r="K173" s="10" t="n">
        <v>7092</v>
      </c>
    </row>
    <row r="174" customFormat="false" ht="15" hidden="false" customHeight="false" outlineLevel="0" collapsed="false">
      <c r="A174" s="9" t="n">
        <v>46183</v>
      </c>
      <c r="B174" s="10" t="s">
        <v>797</v>
      </c>
      <c r="C174" s="10" t="s">
        <v>828</v>
      </c>
      <c r="D174" s="11" t="s">
        <v>1137</v>
      </c>
      <c r="E174" s="10" t="s">
        <v>12</v>
      </c>
      <c r="F174" s="10" t="s">
        <v>1138</v>
      </c>
      <c r="G174" s="10" t="s">
        <v>36</v>
      </c>
      <c r="H174" s="10" t="s">
        <v>8</v>
      </c>
      <c r="I174" s="10" t="s">
        <v>8</v>
      </c>
      <c r="J174" s="11" t="s">
        <v>854</v>
      </c>
      <c r="K174" s="10" t="n">
        <v>7094</v>
      </c>
    </row>
    <row r="175" customFormat="false" ht="15" hidden="false" customHeight="false" outlineLevel="0" collapsed="false">
      <c r="A175" s="9" t="n">
        <v>46189</v>
      </c>
      <c r="B175" s="10" t="s">
        <v>799</v>
      </c>
      <c r="C175" s="10" t="s">
        <v>828</v>
      </c>
      <c r="D175" s="11" t="s">
        <v>1139</v>
      </c>
      <c r="E175" s="10" t="s">
        <v>8</v>
      </c>
      <c r="F175" s="10" t="s">
        <v>1140</v>
      </c>
      <c r="G175" s="10" t="s">
        <v>36</v>
      </c>
      <c r="H175" s="10" t="s">
        <v>831</v>
      </c>
      <c r="I175" s="10" t="s">
        <v>8</v>
      </c>
      <c r="J175" s="11"/>
      <c r="K175" s="10" t="n">
        <v>7095</v>
      </c>
    </row>
    <row r="176" customFormat="false" ht="15" hidden="false" customHeight="false" outlineLevel="0" collapsed="false">
      <c r="A176" s="9" t="n">
        <v>46217</v>
      </c>
      <c r="B176" s="10" t="s">
        <v>801</v>
      </c>
      <c r="C176" s="10" t="s">
        <v>828</v>
      </c>
      <c r="D176" s="11" t="s">
        <v>1141</v>
      </c>
      <c r="E176" s="10" t="s">
        <v>15</v>
      </c>
      <c r="F176" s="10" t="s">
        <v>1142</v>
      </c>
      <c r="G176" s="10" t="s">
        <v>36</v>
      </c>
      <c r="H176" s="10" t="s">
        <v>843</v>
      </c>
      <c r="I176" s="10" t="s">
        <v>831</v>
      </c>
      <c r="J176" s="11" t="s">
        <v>1143</v>
      </c>
      <c r="K176" s="10" t="n">
        <v>7096</v>
      </c>
    </row>
    <row r="177" customFormat="false" ht="15" hidden="false" customHeight="false" outlineLevel="0" collapsed="false">
      <c r="A177" s="9" t="n">
        <v>46217</v>
      </c>
      <c r="B177" s="10" t="s">
        <v>801</v>
      </c>
      <c r="C177" s="10" t="s">
        <v>828</v>
      </c>
      <c r="D177" s="11" t="s">
        <v>1144</v>
      </c>
      <c r="E177" s="10" t="s">
        <v>15</v>
      </c>
      <c r="F177" s="10" t="s">
        <v>1142</v>
      </c>
      <c r="G177" s="10" t="s">
        <v>36</v>
      </c>
      <c r="H177" s="10" t="s">
        <v>843</v>
      </c>
      <c r="I177" s="10" t="s">
        <v>831</v>
      </c>
      <c r="J177" s="11" t="s">
        <v>1143</v>
      </c>
      <c r="K177" s="10" t="n">
        <v>7097</v>
      </c>
    </row>
    <row r="178" customFormat="false" ht="23.85" hidden="false" customHeight="false" outlineLevel="0" collapsed="false">
      <c r="A178" s="9" t="n">
        <v>46218</v>
      </c>
      <c r="B178" s="10" t="s">
        <v>804</v>
      </c>
      <c r="C178" s="10" t="s">
        <v>828</v>
      </c>
      <c r="D178" s="11" t="s">
        <v>1145</v>
      </c>
      <c r="E178" s="10" t="s">
        <v>12</v>
      </c>
      <c r="F178" s="10" t="s">
        <v>1146</v>
      </c>
      <c r="G178" s="10" t="s">
        <v>36</v>
      </c>
      <c r="H178" s="10" t="s">
        <v>831</v>
      </c>
      <c r="I178" s="10" t="s">
        <v>8</v>
      </c>
      <c r="J178" s="11" t="s">
        <v>1072</v>
      </c>
      <c r="K178" s="10" t="n">
        <v>7098</v>
      </c>
    </row>
    <row r="179" customFormat="false" ht="15" hidden="false" customHeight="false" outlineLevel="0" collapsed="false">
      <c r="A179" s="9" t="n">
        <v>46218</v>
      </c>
      <c r="B179" s="10" t="s">
        <v>804</v>
      </c>
      <c r="C179" s="10" t="s">
        <v>835</v>
      </c>
      <c r="D179" s="11" t="s">
        <v>1147</v>
      </c>
      <c r="E179" s="10" t="s">
        <v>12</v>
      </c>
      <c r="F179" s="10" t="s">
        <v>1148</v>
      </c>
      <c r="G179" s="10" t="s">
        <v>108</v>
      </c>
      <c r="H179" s="10" t="s">
        <v>843</v>
      </c>
      <c r="I179" s="10" t="s">
        <v>843</v>
      </c>
      <c r="J179" s="11" t="s">
        <v>1072</v>
      </c>
      <c r="K179" s="10" t="n">
        <v>7099</v>
      </c>
    </row>
    <row r="180" customFormat="false" ht="15" hidden="false" customHeight="false" outlineLevel="0" collapsed="false">
      <c r="A180" s="9" t="n">
        <v>46218</v>
      </c>
      <c r="B180" s="10" t="s">
        <v>804</v>
      </c>
      <c r="C180" s="10" t="s">
        <v>835</v>
      </c>
      <c r="D180" s="11" t="s">
        <v>1147</v>
      </c>
      <c r="E180" s="10" t="s">
        <v>12</v>
      </c>
      <c r="F180" s="10" t="s">
        <v>1149</v>
      </c>
      <c r="G180" s="10" t="s">
        <v>108</v>
      </c>
      <c r="H180" s="10" t="s">
        <v>8</v>
      </c>
      <c r="I180" s="10" t="s">
        <v>9</v>
      </c>
      <c r="J180" s="11" t="s">
        <v>1072</v>
      </c>
      <c r="K180" s="10" t="n">
        <v>7100</v>
      </c>
    </row>
    <row r="181" customFormat="false" ht="15" hidden="false" customHeight="false" outlineLevel="0" collapsed="false">
      <c r="A181" s="9" t="n">
        <v>46246</v>
      </c>
      <c r="B181" s="10" t="s">
        <v>808</v>
      </c>
      <c r="C181" s="10" t="s">
        <v>828</v>
      </c>
      <c r="D181" s="11" t="s">
        <v>1150</v>
      </c>
      <c r="E181" s="10" t="s">
        <v>8</v>
      </c>
      <c r="F181" s="10" t="s">
        <v>1126</v>
      </c>
      <c r="G181" s="10" t="s">
        <v>36</v>
      </c>
      <c r="H181" s="10" t="s">
        <v>831</v>
      </c>
      <c r="I181" s="10" t="s">
        <v>831</v>
      </c>
      <c r="J181" s="11" t="s">
        <v>834</v>
      </c>
      <c r="K181" s="10" t="n">
        <v>7101</v>
      </c>
    </row>
    <row r="182" customFormat="false" ht="23.85" hidden="false" customHeight="false" outlineLevel="0" collapsed="false">
      <c r="A182" s="9" t="n">
        <v>46246</v>
      </c>
      <c r="B182" s="10" t="s">
        <v>810</v>
      </c>
      <c r="C182" s="10" t="s">
        <v>828</v>
      </c>
      <c r="D182" s="11" t="s">
        <v>1151</v>
      </c>
      <c r="E182" s="10" t="s">
        <v>12</v>
      </c>
      <c r="F182" s="10" t="s">
        <v>1152</v>
      </c>
      <c r="G182" s="10" t="s">
        <v>36</v>
      </c>
      <c r="H182" s="10" t="s">
        <v>831</v>
      </c>
      <c r="I182" s="10" t="s">
        <v>831</v>
      </c>
      <c r="J182" s="11" t="s">
        <v>854</v>
      </c>
      <c r="K182" s="10" t="n">
        <v>7102</v>
      </c>
    </row>
    <row r="183" customFormat="false" ht="15" hidden="false" customHeight="false" outlineLevel="0" collapsed="false">
      <c r="A183" s="9" t="n">
        <v>46246</v>
      </c>
      <c r="B183" s="10" t="s">
        <v>810</v>
      </c>
      <c r="C183" s="10" t="s">
        <v>835</v>
      </c>
      <c r="D183" s="11" t="s">
        <v>1153</v>
      </c>
      <c r="E183" s="10" t="s">
        <v>9</v>
      </c>
      <c r="F183" s="10" t="s">
        <v>1154</v>
      </c>
      <c r="G183" s="10" t="s">
        <v>36</v>
      </c>
      <c r="H183" s="10" t="s">
        <v>831</v>
      </c>
      <c r="I183" s="10" t="s">
        <v>831</v>
      </c>
      <c r="J183" s="11"/>
      <c r="K183" s="10" t="n">
        <v>7103</v>
      </c>
    </row>
    <row r="184" customFormat="false" ht="23.85" hidden="false" customHeight="false" outlineLevel="0" collapsed="false">
      <c r="A184" s="9" t="n">
        <v>46268</v>
      </c>
      <c r="B184" s="10" t="s">
        <v>815</v>
      </c>
      <c r="C184" s="10" t="s">
        <v>828</v>
      </c>
      <c r="D184" s="11" t="s">
        <v>1155</v>
      </c>
      <c r="E184" s="10" t="s">
        <v>12</v>
      </c>
      <c r="F184" s="10" t="s">
        <v>842</v>
      </c>
      <c r="G184" s="10" t="s">
        <v>36</v>
      </c>
      <c r="H184" s="10" t="s">
        <v>831</v>
      </c>
      <c r="I184" s="10" t="s">
        <v>831</v>
      </c>
      <c r="J184" s="11" t="s">
        <v>1072</v>
      </c>
      <c r="K184" s="10" t="n">
        <v>7105</v>
      </c>
    </row>
    <row r="185" customFormat="false" ht="23.85" hidden="false" customHeight="false" outlineLevel="0" collapsed="false">
      <c r="A185" s="9" t="n">
        <v>46309</v>
      </c>
      <c r="B185" s="10" t="s">
        <v>817</v>
      </c>
      <c r="C185" s="10" t="s">
        <v>828</v>
      </c>
      <c r="D185" s="11" t="s">
        <v>1156</v>
      </c>
      <c r="E185" s="10" t="s">
        <v>8</v>
      </c>
      <c r="F185" s="10" t="s">
        <v>1157</v>
      </c>
      <c r="G185" s="10" t="s">
        <v>36</v>
      </c>
      <c r="H185" s="10" t="s">
        <v>8</v>
      </c>
      <c r="I185" s="10" t="s">
        <v>843</v>
      </c>
      <c r="J185" s="11" t="s">
        <v>1158</v>
      </c>
      <c r="K185" s="10" t="n">
        <v>7106</v>
      </c>
    </row>
    <row r="186" customFormat="false" ht="23.85" hidden="false" customHeight="false" outlineLevel="0" collapsed="false">
      <c r="A186" s="9" t="n">
        <v>46309</v>
      </c>
      <c r="B186" s="10" t="s">
        <v>817</v>
      </c>
      <c r="C186" s="10" t="s">
        <v>828</v>
      </c>
      <c r="D186" s="11" t="s">
        <v>1159</v>
      </c>
      <c r="E186" s="10" t="s">
        <v>8</v>
      </c>
      <c r="F186" s="10" t="s">
        <v>1157</v>
      </c>
      <c r="G186" s="10" t="s">
        <v>36</v>
      </c>
      <c r="H186" s="10" t="s">
        <v>8</v>
      </c>
      <c r="I186" s="10" t="s">
        <v>843</v>
      </c>
      <c r="J186" s="11" t="s">
        <v>1158</v>
      </c>
      <c r="K186" s="10" t="n">
        <v>7107</v>
      </c>
    </row>
    <row r="187" customFormat="false" ht="15" hidden="false" customHeight="false" outlineLevel="0" collapsed="false">
      <c r="A187" s="9" t="n">
        <v>46310</v>
      </c>
      <c r="B187" s="10" t="s">
        <v>820</v>
      </c>
      <c r="C187" s="10" t="s">
        <v>828</v>
      </c>
      <c r="D187" s="11" t="s">
        <v>1160</v>
      </c>
      <c r="E187" s="10" t="s">
        <v>8</v>
      </c>
      <c r="F187" s="10" t="s">
        <v>1161</v>
      </c>
      <c r="G187" s="10" t="s">
        <v>36</v>
      </c>
      <c r="H187" s="10" t="s">
        <v>831</v>
      </c>
      <c r="I187" s="10" t="s">
        <v>831</v>
      </c>
      <c r="J187" s="11" t="s">
        <v>834</v>
      </c>
      <c r="K187" s="10" t="n">
        <v>7108</v>
      </c>
    </row>
  </sheetData>
  <autoFilter ref="A1:K1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2026-10-23T17:38:44Z</dcterms:created>
  <dc:creator>openpyxl</dc:creator>
  <dc:description/>
  <dc:language>en-US</dc:language>
  <cp:lastModifiedBy/>
  <dcterms:modified xsi:type="dcterms:W3CDTF">2026-10-23T18:03:24Z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